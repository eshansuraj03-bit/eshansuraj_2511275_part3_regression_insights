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D1E3AA9-34A5-4711-AFB4-B6305D8EB24A}" xr6:coauthVersionLast="36" xr6:coauthVersionMax="36" xr10:uidLastSave="{00000000-0000-0000-0000-000000000000}"/>
  <bookViews>
    <workbookView xWindow="0" yWindow="0" windowWidth="17256" windowHeight="5640" xr2:uid="{0C6F27EE-BE6C-4596-9E74-5BC5613F246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F6" i="1"/>
  <c r="F5" i="1"/>
  <c r="F4" i="1"/>
  <c r="E6" i="1"/>
  <c r="E5" i="1"/>
  <c r="E4" i="1"/>
  <c r="E3" i="1"/>
  <c r="E2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<sst xmlns="http://schemas.openxmlformats.org/spreadsheetml/2006/main" count="47" uniqueCount="37">
  <si>
    <t>Model</t>
  </si>
  <si>
    <t>Dependent Variable</t>
  </si>
  <si>
    <t>Independent Variable(s)</t>
  </si>
  <si>
    <t>R²</t>
  </si>
  <si>
    <t>Coefficient(s)</t>
  </si>
  <si>
    <t>P-value(s)</t>
  </si>
  <si>
    <t>Significant?</t>
  </si>
  <si>
    <t>Business Usefulness</t>
  </si>
  <si>
    <t>Simple Regression 1</t>
  </si>
  <si>
    <t>Monthly Sales</t>
  </si>
  <si>
    <t>Marketing Spend</t>
  </si>
  <si>
    <t>Yes</t>
  </si>
  <si>
    <t>Useful</t>
  </si>
  <si>
    <t>Simple Regression 2</t>
  </si>
  <si>
    <t>Footfall</t>
  </si>
  <si>
    <t>Highly Useful</t>
  </si>
  <si>
    <t>Simple Regression 3</t>
  </si>
  <si>
    <t>Average Discount %</t>
  </si>
  <si>
    <t>No</t>
  </si>
  <si>
    <t>Not Useful</t>
  </si>
  <si>
    <t>Simple Regression 4</t>
  </si>
  <si>
    <t>Inventory Availability %</t>
  </si>
  <si>
    <t>Limited Usefulness</t>
  </si>
  <si>
    <t>Simple Regression 5</t>
  </si>
  <si>
    <t>Customer Rating</t>
  </si>
  <si>
    <t>Multiple Regression</t>
  </si>
  <si>
    <t>Marketing Spend, Footfall, Average Discount %, West Dummy</t>
  </si>
  <si>
    <t>Multiple</t>
  </si>
  <si>
    <t>Marketing Spend, Footfall, Average Discount %</t>
  </si>
  <si>
    <t>Best Model</t>
  </si>
  <si>
    <t>Final Model Selected</t>
  </si>
  <si>
    <t>Multiple Regression Model</t>
  </si>
  <si>
    <t>Reason:</t>
  </si>
  <si>
    <r>
      <t xml:space="preserve">Highest </t>
    </r>
    <r>
      <rPr>
        <b/>
        <sz val="11"/>
        <color theme="1"/>
        <rFont val="Calibri"/>
        <family val="2"/>
        <scheme val="minor"/>
      </rPr>
      <t>R² (78.73%)</t>
    </r>
    <r>
      <rPr>
        <sz val="11"/>
        <color theme="1"/>
        <rFont val="Calibri"/>
        <family val="2"/>
        <scheme val="minor"/>
      </rPr>
      <t>, indicating the strongest explanatory power.</t>
    </r>
  </si>
  <si>
    <t>Includes multiple important business factors rather than relying on a single predictor.</t>
  </si>
  <si>
    <t>Marketing Spend, Footfall, and Average Discount Percentage are statistically significant.</t>
  </si>
  <si>
    <t>Provides more reliable support for business decision-making than any individual simple regression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</si>
</sst>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alysis_regression_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e_performance"/>
      <sheetName val="SRegression1"/>
      <sheetName val="SRegression2"/>
      <sheetName val="SRegression3"/>
      <sheetName val="SRegression4"/>
      <sheetName val="SRegression5"/>
      <sheetName val="SR Summary"/>
      <sheetName val="Multiple Regression"/>
      <sheetName val="MR Visuals"/>
      <sheetName val="MR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C2">
            <v>0.16724469112487</v>
          </cell>
          <cell r="D2">
            <v>2.1295753275898281</v>
          </cell>
          <cell r="E2">
            <v>2.4800615101360068E-14</v>
          </cell>
        </row>
        <row r="3">
          <cell r="C3">
            <v>0.73628534000331114</v>
          </cell>
          <cell r="D3">
            <v>35.678031072640458</v>
          </cell>
          <cell r="E3">
            <v>4.7503615090054677E-94</v>
          </cell>
        </row>
        <row r="4">
          <cell r="C4">
            <v>8.2905030244002989E-3</v>
          </cell>
          <cell r="D4">
            <v>-138730.45471638071</v>
          </cell>
          <cell r="E4">
            <v>0.10399304641903374</v>
          </cell>
        </row>
        <row r="5">
          <cell r="C5">
            <v>1.3115015964405912E-2</v>
          </cell>
          <cell r="D5">
            <v>2217.8319409989194</v>
          </cell>
          <cell r="E5">
            <v>4.0625296630164572E-2</v>
          </cell>
        </row>
        <row r="6">
          <cell r="C6">
            <v>4.2428872676947222E-3</v>
          </cell>
          <cell r="D6">
            <v>8410.5531452214145</v>
          </cell>
          <cell r="E6">
            <v>0.24528072579466514</v>
          </cell>
        </row>
      </sheetData>
      <sheetData sheetId="7">
        <row r="5">
          <cell r="B5">
            <v>0.78731979888935111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B190-E088-4DD3-8764-BCACB3E98AF1}">
  <dimension ref="A1:H16"/>
  <sheetViews>
    <sheetView tabSelected="1" workbookViewId="0">
      <selection activeCell="F9" sqref="F9"/>
    </sheetView>
  </sheetViews>
  <sheetFormatPr defaultColWidth="23.21875" defaultRowHeight="14.4" x14ac:dyDescent="0.3"/>
  <sheetData>
    <row r="1" spans="1:8" ht="57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3.2" x14ac:dyDescent="0.3">
      <c r="A2" s="5" t="s">
        <v>8</v>
      </c>
      <c r="B2" s="5" t="s">
        <v>9</v>
      </c>
      <c r="C2" s="5" t="s">
        <v>10</v>
      </c>
      <c r="D2" s="5">
        <f>'[1]SR Summary'!$C$2</f>
        <v>0.16724469112487</v>
      </c>
      <c r="E2" s="5">
        <f>'[1]SR Summary'!$D$2</f>
        <v>2.1295753275898281</v>
      </c>
      <c r="F2" s="6">
        <f>'[1]SR Summary'!$E$2</f>
        <v>2.4800615101360068E-14</v>
      </c>
      <c r="G2" s="5" t="s">
        <v>11</v>
      </c>
      <c r="H2" s="5" t="s">
        <v>12</v>
      </c>
    </row>
    <row r="3" spans="1:8" ht="43.2" x14ac:dyDescent="0.3">
      <c r="A3" s="5" t="s">
        <v>13</v>
      </c>
      <c r="B3" s="5" t="s">
        <v>9</v>
      </c>
      <c r="C3" s="5" t="s">
        <v>14</v>
      </c>
      <c r="D3" s="5">
        <f>'[1]SR Summary'!$C$3</f>
        <v>0.73628534000331114</v>
      </c>
      <c r="E3" s="5">
        <f>'[1]SR Summary'!$D$3</f>
        <v>35.678031072640458</v>
      </c>
      <c r="F3" s="6">
        <f>'[1]SR Summary'!$E$3</f>
        <v>4.7503615090054677E-94</v>
      </c>
      <c r="G3" s="5" t="s">
        <v>11</v>
      </c>
      <c r="H3" s="5" t="s">
        <v>15</v>
      </c>
    </row>
    <row r="4" spans="1:8" x14ac:dyDescent="0.3">
      <c r="A4" s="5" t="s">
        <v>16</v>
      </c>
      <c r="B4" s="5" t="s">
        <v>9</v>
      </c>
      <c r="C4" s="5" t="s">
        <v>17</v>
      </c>
      <c r="D4" s="5">
        <f>'[1]SR Summary'!$C$4</f>
        <v>8.2905030244002989E-3</v>
      </c>
      <c r="E4" s="5">
        <f>'[1]SR Summary'!$D$4</f>
        <v>-138730.45471638071</v>
      </c>
      <c r="F4" s="5">
        <f>'[1]SR Summary'!$E$4</f>
        <v>0.10399304641903374</v>
      </c>
      <c r="G4" s="5" t="s">
        <v>18</v>
      </c>
      <c r="H4" s="5" t="s">
        <v>19</v>
      </c>
    </row>
    <row r="5" spans="1:8" x14ac:dyDescent="0.3">
      <c r="A5" s="5" t="s">
        <v>20</v>
      </c>
      <c r="B5" s="5" t="s">
        <v>9</v>
      </c>
      <c r="C5" s="5" t="s">
        <v>21</v>
      </c>
      <c r="D5" s="5">
        <f>'[1]SR Summary'!$C$5</f>
        <v>1.3115015964405912E-2</v>
      </c>
      <c r="E5" s="5">
        <f>'[1]SR Summary'!$D$5</f>
        <v>2217.8319409989194</v>
      </c>
      <c r="F5" s="5">
        <f>'[1]SR Summary'!$E$5</f>
        <v>4.0625296630164572E-2</v>
      </c>
      <c r="G5" s="5" t="s">
        <v>11</v>
      </c>
      <c r="H5" s="5" t="s">
        <v>22</v>
      </c>
    </row>
    <row r="6" spans="1:8" x14ac:dyDescent="0.3">
      <c r="A6" s="5" t="s">
        <v>23</v>
      </c>
      <c r="B6" s="5" t="s">
        <v>9</v>
      </c>
      <c r="C6" s="5" t="s">
        <v>24</v>
      </c>
      <c r="D6" s="5">
        <f>'[1]SR Summary'!$C$6</f>
        <v>4.2428872676947222E-3</v>
      </c>
      <c r="E6" s="5">
        <f>'[1]SR Summary'!$D$6</f>
        <v>8410.5531452214145</v>
      </c>
      <c r="F6" s="5">
        <f>'[1]SR Summary'!$E$6</f>
        <v>0.24528072579466514</v>
      </c>
      <c r="G6" s="5" t="s">
        <v>18</v>
      </c>
      <c r="H6" s="5" t="s">
        <v>19</v>
      </c>
    </row>
    <row r="7" spans="1:8" ht="100.8" x14ac:dyDescent="0.3">
      <c r="A7" s="5" t="s">
        <v>25</v>
      </c>
      <c r="B7" s="5" t="s">
        <v>9</v>
      </c>
      <c r="C7" s="5" t="s">
        <v>26</v>
      </c>
      <c r="D7" s="5">
        <f>'[1]Multiple Regression'!$B$5</f>
        <v>0.78731979888935111</v>
      </c>
      <c r="E7" s="5" t="s">
        <v>27</v>
      </c>
      <c r="F7" s="5" t="s">
        <v>27</v>
      </c>
      <c r="G7" s="5" t="s">
        <v>28</v>
      </c>
      <c r="H7" s="5" t="s">
        <v>29</v>
      </c>
    </row>
    <row r="9" spans="1:8" ht="18" x14ac:dyDescent="0.3">
      <c r="A9" s="1" t="s">
        <v>30</v>
      </c>
    </row>
    <row r="11" spans="1:8" x14ac:dyDescent="0.3">
      <c r="A11" s="2" t="s">
        <v>31</v>
      </c>
    </row>
    <row r="12" spans="1:8" x14ac:dyDescent="0.3">
      <c r="A12" s="2" t="s">
        <v>32</v>
      </c>
    </row>
    <row r="13" spans="1:8" x14ac:dyDescent="0.3">
      <c r="A13" s="3" t="s">
        <v>33</v>
      </c>
    </row>
    <row r="14" spans="1:8" x14ac:dyDescent="0.3">
      <c r="A14" s="3" t="s">
        <v>34</v>
      </c>
    </row>
    <row r="15" spans="1:8" x14ac:dyDescent="0.3">
      <c r="A15" s="3" t="s">
        <v>35</v>
      </c>
    </row>
    <row r="16" spans="1:8" x14ac:dyDescent="0.3">
      <c r="A16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2026-06-28T09:30:34Z</dcterms:created>
  <dcterms:modified xsi:type="dcterms:W3CDTF">2026-06-28T09:36:48Z</dcterms:modified>
</cp:coreProperties>
</file>