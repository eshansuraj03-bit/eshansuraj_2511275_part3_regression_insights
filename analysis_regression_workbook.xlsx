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harts/chart1.xml" ContentType="application/vnd.openxmlformats-officedocument.drawingml.chart+xml"/>
  <Override PartName="/xl/charts/chart2.xml" ContentType="application/vnd.openxmlformats-officedocument.drawingml.chart+xml"/>
  <Override PartName="/xl/charts/chart3.xml" ContentType="application/vnd.openxmlformats-officedocument.drawingml.chart+xml"/>
  <Override PartName="/xl/charts/chart4.xml" ContentType="application/vnd.openxmlformats-officedocument.drawingml.chart+xml"/>
  <Override PartName="/xl/charts/chart5.xml" ContentType="application/vnd.openxmlformats-officedocument.drawingml.chart+xml"/>
  <Override PartName="/xl/charts/chart6.xml" ContentType="application/vnd.openxmlformats-officedocument.drawingml.chart+xml"/>
  <Override PartName="/xl/charts/chart7.xml" ContentType="application/vnd.openxmlformats-officedocument.drawingml.chart+xml"/>
  <Override PartName="/xl/charts/chart8.xml" ContentType="application/vnd.openxmlformats-officedocument.drawingml.chart+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361"/>
  <workbookPr/>
  <mc:AlternateContent xmlns:mc="http://schemas.openxmlformats.org/markup-compatibility/2006">
    <mc:Choice Requires="x15">
      <x15ac:absPath xmlns:x15ac="http://schemas.microsoft.com/office/spreadsheetml/2010/11/ac" url="C:\Users\Hp\Downloads\"/>
    </mc:Choice>
  </mc:AlternateContent>
  <xr:revisionPtr revIDLastSave="0" documentId="13_ncr:1_{03C5DDCB-D0BE-4512-8894-4206C2B46959}" xr6:coauthVersionLast="36" xr6:coauthVersionMax="36" xr10:uidLastSave="{00000000-0000-0000-0000-000000000000}"/>
  <bookViews>
    <workbookView xWindow="0" yWindow="0" windowWidth="23040" windowHeight="8940" firstSheet="4" activeTab="6" xr2:uid="{00000000-000D-0000-FFFF-FFFF00000000}"/>
  </bookViews>
  <sheets>
    <sheet name="store_performance" sheetId="1" r:id="rId1"/>
    <sheet name="SRegression1" sheetId="3" r:id="rId2"/>
    <sheet name="SRegression2" sheetId="4" r:id="rId3"/>
    <sheet name="SRegression3" sheetId="5" r:id="rId4"/>
    <sheet name="SRegression4" sheetId="6" r:id="rId5"/>
    <sheet name="SRegression5" sheetId="7" r:id="rId6"/>
    <sheet name="SR Summary" sheetId="8" r:id="rId7"/>
    <sheet name="Multiple Regression" sheetId="9" r:id="rId8"/>
    <sheet name="MR Visuals" sheetId="10" r:id="rId9"/>
    <sheet name="MR Summary" sheetId="11" r:id="rId10"/>
  </sheets>
  <definedNames>
    <definedName name="_xlnm._FilterDatabase" localSheetId="0" hidden="1">store_performance!$A$1:$Q$321</definedName>
  </definedNames>
  <calcPr calcId="191029"/>
</workbook>
</file>

<file path=xl/calcChain.xml><?xml version="1.0" encoding="utf-8"?>
<calcChain xmlns="http://schemas.openxmlformats.org/spreadsheetml/2006/main">
  <c r="B6" i="8" l="1"/>
  <c r="B5" i="8"/>
  <c r="B4" i="8"/>
  <c r="B3" i="8"/>
  <c r="B2" i="8"/>
  <c r="B62" i="11" l="1"/>
  <c r="B34" i="11"/>
  <c r="B35" i="11"/>
  <c r="B36" i="11"/>
  <c r="B33" i="11"/>
  <c r="B23" i="11"/>
  <c r="B5" i="11"/>
  <c r="E6" i="8"/>
  <c r="E5" i="8"/>
  <c r="E4" i="8"/>
  <c r="E3" i="8"/>
  <c r="D6" i="8"/>
  <c r="D5" i="8"/>
  <c r="D4" i="8"/>
  <c r="D3" i="8"/>
  <c r="E2" i="8"/>
  <c r="D2" i="8"/>
  <c r="C6" i="8"/>
  <c r="C5" i="8"/>
  <c r="C4" i="8"/>
  <c r="C3" i="8"/>
  <c r="C2" i="8"/>
  <c r="G3" i="1" l="1"/>
  <c r="G4" i="1"/>
  <c r="G5" i="1"/>
  <c r="G6" i="1"/>
  <c r="G7" i="1"/>
  <c r="G8" i="1"/>
  <c r="G9" i="1"/>
  <c r="G10" i="1"/>
  <c r="G11" i="1"/>
  <c r="G12" i="1"/>
  <c r="G13" i="1"/>
  <c r="G14" i="1"/>
  <c r="G15" i="1"/>
  <c r="G16" i="1"/>
  <c r="G17" i="1"/>
  <c r="G18" i="1"/>
  <c r="G19" i="1"/>
  <c r="G20" i="1"/>
  <c r="G21" i="1"/>
  <c r="G22" i="1"/>
  <c r="G23" i="1"/>
  <c r="G24" i="1"/>
  <c r="G25" i="1"/>
  <c r="G26" i="1"/>
  <c r="G27" i="1"/>
  <c r="G28" i="1"/>
  <c r="G29" i="1"/>
  <c r="G30" i="1"/>
  <c r="G31" i="1"/>
  <c r="G32" i="1"/>
  <c r="G33" i="1"/>
  <c r="G34" i="1"/>
  <c r="G35" i="1"/>
  <c r="G36" i="1"/>
  <c r="G37" i="1"/>
  <c r="G38" i="1"/>
  <c r="G39" i="1"/>
  <c r="G40" i="1"/>
  <c r="G41" i="1"/>
  <c r="G42" i="1"/>
  <c r="G43" i="1"/>
  <c r="G44" i="1"/>
  <c r="G45" i="1"/>
  <c r="G46" i="1"/>
  <c r="G47" i="1"/>
  <c r="G48" i="1"/>
  <c r="G49" i="1"/>
  <c r="G50" i="1"/>
  <c r="G51" i="1"/>
  <c r="G52" i="1"/>
  <c r="G53" i="1"/>
  <c r="G54" i="1"/>
  <c r="G55" i="1"/>
  <c r="G56" i="1"/>
  <c r="G57" i="1"/>
  <c r="G58" i="1"/>
  <c r="G59" i="1"/>
  <c r="G60" i="1"/>
  <c r="G61" i="1"/>
  <c r="G62" i="1"/>
  <c r="G63" i="1"/>
  <c r="G64" i="1"/>
  <c r="G65" i="1"/>
  <c r="G66" i="1"/>
  <c r="G67" i="1"/>
  <c r="G68" i="1"/>
  <c r="G69" i="1"/>
  <c r="G70" i="1"/>
  <c r="G71" i="1"/>
  <c r="G72" i="1"/>
  <c r="G73" i="1"/>
  <c r="G74" i="1"/>
  <c r="G75" i="1"/>
  <c r="G76" i="1"/>
  <c r="G77" i="1"/>
  <c r="G78" i="1"/>
  <c r="G79" i="1"/>
  <c r="G80" i="1"/>
  <c r="G81" i="1"/>
  <c r="G82" i="1"/>
  <c r="G83" i="1"/>
  <c r="G84" i="1"/>
  <c r="G85" i="1"/>
  <c r="G86" i="1"/>
  <c r="G87" i="1"/>
  <c r="G88" i="1"/>
  <c r="G89" i="1"/>
  <c r="G90" i="1"/>
  <c r="G91" i="1"/>
  <c r="G92" i="1"/>
  <c r="G93" i="1"/>
  <c r="G94" i="1"/>
  <c r="G95" i="1"/>
  <c r="G96" i="1"/>
  <c r="G97" i="1"/>
  <c r="G98" i="1"/>
  <c r="G99" i="1"/>
  <c r="G100" i="1"/>
  <c r="G101" i="1"/>
  <c r="G102" i="1"/>
  <c r="G103" i="1"/>
  <c r="G104" i="1"/>
  <c r="G105" i="1"/>
  <c r="G106" i="1"/>
  <c r="G107" i="1"/>
  <c r="G108" i="1"/>
  <c r="G109" i="1"/>
  <c r="G110" i="1"/>
  <c r="G111" i="1"/>
  <c r="G112" i="1"/>
  <c r="G113" i="1"/>
  <c r="G114" i="1"/>
  <c r="G115" i="1"/>
  <c r="G116" i="1"/>
  <c r="G117" i="1"/>
  <c r="G118" i="1"/>
  <c r="G119" i="1"/>
  <c r="G120" i="1"/>
  <c r="G121" i="1"/>
  <c r="G122" i="1"/>
  <c r="G123" i="1"/>
  <c r="G124" i="1"/>
  <c r="G125" i="1"/>
  <c r="G126" i="1"/>
  <c r="G127" i="1"/>
  <c r="G128" i="1"/>
  <c r="G129" i="1"/>
  <c r="G130" i="1"/>
  <c r="G131" i="1"/>
  <c r="G132" i="1"/>
  <c r="G133" i="1"/>
  <c r="G134" i="1"/>
  <c r="G135" i="1"/>
  <c r="G136" i="1"/>
  <c r="G137" i="1"/>
  <c r="G138" i="1"/>
  <c r="G139" i="1"/>
  <c r="G140" i="1"/>
  <c r="G141" i="1"/>
  <c r="G142" i="1"/>
  <c r="G143" i="1"/>
  <c r="G144" i="1"/>
  <c r="G145" i="1"/>
  <c r="G146" i="1"/>
  <c r="G147" i="1"/>
  <c r="G148" i="1"/>
  <c r="G149" i="1"/>
  <c r="G150" i="1"/>
  <c r="G151" i="1"/>
  <c r="G152" i="1"/>
  <c r="G153" i="1"/>
  <c r="G154" i="1"/>
  <c r="G155" i="1"/>
  <c r="G156" i="1"/>
  <c r="G157" i="1"/>
  <c r="G158" i="1"/>
  <c r="G159" i="1"/>
  <c r="G160" i="1"/>
  <c r="G161" i="1"/>
  <c r="G162" i="1"/>
  <c r="G163" i="1"/>
  <c r="G164" i="1"/>
  <c r="G165" i="1"/>
  <c r="G166" i="1"/>
  <c r="G167" i="1"/>
  <c r="G168" i="1"/>
  <c r="G169" i="1"/>
  <c r="G170" i="1"/>
  <c r="G171" i="1"/>
  <c r="G172" i="1"/>
  <c r="G173" i="1"/>
  <c r="G174" i="1"/>
  <c r="G175" i="1"/>
  <c r="G176" i="1"/>
  <c r="G177" i="1"/>
  <c r="G178" i="1"/>
  <c r="G179" i="1"/>
  <c r="G180" i="1"/>
  <c r="G181" i="1"/>
  <c r="G182" i="1"/>
  <c r="G183" i="1"/>
  <c r="G184" i="1"/>
  <c r="G185" i="1"/>
  <c r="G186" i="1"/>
  <c r="G187" i="1"/>
  <c r="G188" i="1"/>
  <c r="G189" i="1"/>
  <c r="G190" i="1"/>
  <c r="G191" i="1"/>
  <c r="G192" i="1"/>
  <c r="G193" i="1"/>
  <c r="G194" i="1"/>
  <c r="G195" i="1"/>
  <c r="G196" i="1"/>
  <c r="G197" i="1"/>
  <c r="G198" i="1"/>
  <c r="G199" i="1"/>
  <c r="G200" i="1"/>
  <c r="G201" i="1"/>
  <c r="G202" i="1"/>
  <c r="G203" i="1"/>
  <c r="G204" i="1"/>
  <c r="G205" i="1"/>
  <c r="G206" i="1"/>
  <c r="G207" i="1"/>
  <c r="G208" i="1"/>
  <c r="G209" i="1"/>
  <c r="G210" i="1"/>
  <c r="G211" i="1"/>
  <c r="G212" i="1"/>
  <c r="G213" i="1"/>
  <c r="G214" i="1"/>
  <c r="G215" i="1"/>
  <c r="G216" i="1"/>
  <c r="G217" i="1"/>
  <c r="G218" i="1"/>
  <c r="G219" i="1"/>
  <c r="G220" i="1"/>
  <c r="G221" i="1"/>
  <c r="G222" i="1"/>
  <c r="G223" i="1"/>
  <c r="G224" i="1"/>
  <c r="G225" i="1"/>
  <c r="G226" i="1"/>
  <c r="G227" i="1"/>
  <c r="G228" i="1"/>
  <c r="G229" i="1"/>
  <c r="G230" i="1"/>
  <c r="G231" i="1"/>
  <c r="G232" i="1"/>
  <c r="G233" i="1"/>
  <c r="G234" i="1"/>
  <c r="G235" i="1"/>
  <c r="G236" i="1"/>
  <c r="G237" i="1"/>
  <c r="G238" i="1"/>
  <c r="G239" i="1"/>
  <c r="G240" i="1"/>
  <c r="G241" i="1"/>
  <c r="G242" i="1"/>
  <c r="G243" i="1"/>
  <c r="G244" i="1"/>
  <c r="G245" i="1"/>
  <c r="G246" i="1"/>
  <c r="G247" i="1"/>
  <c r="G248" i="1"/>
  <c r="G249" i="1"/>
  <c r="G250" i="1"/>
  <c r="G251" i="1"/>
  <c r="G252" i="1"/>
  <c r="G253" i="1"/>
  <c r="G254" i="1"/>
  <c r="G255" i="1"/>
  <c r="G256" i="1"/>
  <c r="G257" i="1"/>
  <c r="G258" i="1"/>
  <c r="G259" i="1"/>
  <c r="G260" i="1"/>
  <c r="G261" i="1"/>
  <c r="G262" i="1"/>
  <c r="G263" i="1"/>
  <c r="G264" i="1"/>
  <c r="G265" i="1"/>
  <c r="G266" i="1"/>
  <c r="G267" i="1"/>
  <c r="G268" i="1"/>
  <c r="G269" i="1"/>
  <c r="G270" i="1"/>
  <c r="G271" i="1"/>
  <c r="G272" i="1"/>
  <c r="G273" i="1"/>
  <c r="G274" i="1"/>
  <c r="G275" i="1"/>
  <c r="G276" i="1"/>
  <c r="G277" i="1"/>
  <c r="G278" i="1"/>
  <c r="G279" i="1"/>
  <c r="G280" i="1"/>
  <c r="G281" i="1"/>
  <c r="G282" i="1"/>
  <c r="G283" i="1"/>
  <c r="G284" i="1"/>
  <c r="G285" i="1"/>
  <c r="G286" i="1"/>
  <c r="G287" i="1"/>
  <c r="G288" i="1"/>
  <c r="G289" i="1"/>
  <c r="G290" i="1"/>
  <c r="G291" i="1"/>
  <c r="G292" i="1"/>
  <c r="G293" i="1"/>
  <c r="G294" i="1"/>
  <c r="G295" i="1"/>
  <c r="G296" i="1"/>
  <c r="G297" i="1"/>
  <c r="G298" i="1"/>
  <c r="G299" i="1"/>
  <c r="G300" i="1"/>
  <c r="G301" i="1"/>
  <c r="G302" i="1"/>
  <c r="G303" i="1"/>
  <c r="G304" i="1"/>
  <c r="G305" i="1"/>
  <c r="G306" i="1"/>
  <c r="G307" i="1"/>
  <c r="G308" i="1"/>
  <c r="G309" i="1"/>
  <c r="G310" i="1"/>
  <c r="G311" i="1"/>
  <c r="G312" i="1"/>
  <c r="G313" i="1"/>
  <c r="G314" i="1"/>
  <c r="G315" i="1"/>
  <c r="G316" i="1"/>
  <c r="G317" i="1"/>
  <c r="G318" i="1"/>
  <c r="G319" i="1"/>
  <c r="G320" i="1"/>
  <c r="G321" i="1"/>
  <c r="G2" i="1"/>
  <c r="F3" i="1"/>
  <c r="F4" i="1"/>
  <c r="F5" i="1"/>
  <c r="F6" i="1"/>
  <c r="F7" i="1"/>
  <c r="F8" i="1"/>
  <c r="F9" i="1"/>
  <c r="F10" i="1"/>
  <c r="F11" i="1"/>
  <c r="F12" i="1"/>
  <c r="F13" i="1"/>
  <c r="F14" i="1"/>
  <c r="F15" i="1"/>
  <c r="F16" i="1"/>
  <c r="F17" i="1"/>
  <c r="F18" i="1"/>
  <c r="F19" i="1"/>
  <c r="F20" i="1"/>
  <c r="F21" i="1"/>
  <c r="F22" i="1"/>
  <c r="F23" i="1"/>
  <c r="F24" i="1"/>
  <c r="F25" i="1"/>
  <c r="F26" i="1"/>
  <c r="F27" i="1"/>
  <c r="F28" i="1"/>
  <c r="F29" i="1"/>
  <c r="F30" i="1"/>
  <c r="F31" i="1"/>
  <c r="F32" i="1"/>
  <c r="F33" i="1"/>
  <c r="F34" i="1"/>
  <c r="F35" i="1"/>
  <c r="F36" i="1"/>
  <c r="F37" i="1"/>
  <c r="F38" i="1"/>
  <c r="F39" i="1"/>
  <c r="F40" i="1"/>
  <c r="F41" i="1"/>
  <c r="F42" i="1"/>
  <c r="F43" i="1"/>
  <c r="F44" i="1"/>
  <c r="F45" i="1"/>
  <c r="F46" i="1"/>
  <c r="F47" i="1"/>
  <c r="F48" i="1"/>
  <c r="F49" i="1"/>
  <c r="F50" i="1"/>
  <c r="F51" i="1"/>
  <c r="F52" i="1"/>
  <c r="F53" i="1"/>
  <c r="F54" i="1"/>
  <c r="F55" i="1"/>
  <c r="F56" i="1"/>
  <c r="F57" i="1"/>
  <c r="F58" i="1"/>
  <c r="F59" i="1"/>
  <c r="F60" i="1"/>
  <c r="F61" i="1"/>
  <c r="F62" i="1"/>
  <c r="F63" i="1"/>
  <c r="F64" i="1"/>
  <c r="F65" i="1"/>
  <c r="F66" i="1"/>
  <c r="F67" i="1"/>
  <c r="F68" i="1"/>
  <c r="F69" i="1"/>
  <c r="F70" i="1"/>
  <c r="F71" i="1"/>
  <c r="F72" i="1"/>
  <c r="F73" i="1"/>
  <c r="F74" i="1"/>
  <c r="F75" i="1"/>
  <c r="F76" i="1"/>
  <c r="F77" i="1"/>
  <c r="F78" i="1"/>
  <c r="F79" i="1"/>
  <c r="F80" i="1"/>
  <c r="F81" i="1"/>
  <c r="F82" i="1"/>
  <c r="F83" i="1"/>
  <c r="F84" i="1"/>
  <c r="F85" i="1"/>
  <c r="F86" i="1"/>
  <c r="F87" i="1"/>
  <c r="F88" i="1"/>
  <c r="F89" i="1"/>
  <c r="F90" i="1"/>
  <c r="F91" i="1"/>
  <c r="F92" i="1"/>
  <c r="F93" i="1"/>
  <c r="F94" i="1"/>
  <c r="F95" i="1"/>
  <c r="F96" i="1"/>
  <c r="F97" i="1"/>
  <c r="F98" i="1"/>
  <c r="F99" i="1"/>
  <c r="F100" i="1"/>
  <c r="F101" i="1"/>
  <c r="F102" i="1"/>
  <c r="F103" i="1"/>
  <c r="F104" i="1"/>
  <c r="F105" i="1"/>
  <c r="F106" i="1"/>
  <c r="F107" i="1"/>
  <c r="F108" i="1"/>
  <c r="F109" i="1"/>
  <c r="F110" i="1"/>
  <c r="F111" i="1"/>
  <c r="F112" i="1"/>
  <c r="F113" i="1"/>
  <c r="F114" i="1"/>
  <c r="F115" i="1"/>
  <c r="F116" i="1"/>
  <c r="F117" i="1"/>
  <c r="F118" i="1"/>
  <c r="F119" i="1"/>
  <c r="F120" i="1"/>
  <c r="F121" i="1"/>
  <c r="F122" i="1"/>
  <c r="F123" i="1"/>
  <c r="F124" i="1"/>
  <c r="F125" i="1"/>
  <c r="F126" i="1"/>
  <c r="F127" i="1"/>
  <c r="F128" i="1"/>
  <c r="F129" i="1"/>
  <c r="F130" i="1"/>
  <c r="F131" i="1"/>
  <c r="F132" i="1"/>
  <c r="F133" i="1"/>
  <c r="F134" i="1"/>
  <c r="F135" i="1"/>
  <c r="F136" i="1"/>
  <c r="F137" i="1"/>
  <c r="F138" i="1"/>
  <c r="F139" i="1"/>
  <c r="F140" i="1"/>
  <c r="F141" i="1"/>
  <c r="F142" i="1"/>
  <c r="F143" i="1"/>
  <c r="F144" i="1"/>
  <c r="F145" i="1"/>
  <c r="F146" i="1"/>
  <c r="F147" i="1"/>
  <c r="F148" i="1"/>
  <c r="F149" i="1"/>
  <c r="F150" i="1"/>
  <c r="F151" i="1"/>
  <c r="F152" i="1"/>
  <c r="F153" i="1"/>
  <c r="F154" i="1"/>
  <c r="F155" i="1"/>
  <c r="F156" i="1"/>
  <c r="F157" i="1"/>
  <c r="F158" i="1"/>
  <c r="F159" i="1"/>
  <c r="F160" i="1"/>
  <c r="F161" i="1"/>
  <c r="F162" i="1"/>
  <c r="F163" i="1"/>
  <c r="F164" i="1"/>
  <c r="F165" i="1"/>
  <c r="F166" i="1"/>
  <c r="F167" i="1"/>
  <c r="F168" i="1"/>
  <c r="F169" i="1"/>
  <c r="F170" i="1"/>
  <c r="F171" i="1"/>
  <c r="F172" i="1"/>
  <c r="F173" i="1"/>
  <c r="F174" i="1"/>
  <c r="F175" i="1"/>
  <c r="F176" i="1"/>
  <c r="F177" i="1"/>
  <c r="F178" i="1"/>
  <c r="F179" i="1"/>
  <c r="F180" i="1"/>
  <c r="F181" i="1"/>
  <c r="F182" i="1"/>
  <c r="F183" i="1"/>
  <c r="F184" i="1"/>
  <c r="F185" i="1"/>
  <c r="F186" i="1"/>
  <c r="F187" i="1"/>
  <c r="F188" i="1"/>
  <c r="F189" i="1"/>
  <c r="F190" i="1"/>
  <c r="F191" i="1"/>
  <c r="F192" i="1"/>
  <c r="F193" i="1"/>
  <c r="F194" i="1"/>
  <c r="F195" i="1"/>
  <c r="F196" i="1"/>
  <c r="F197" i="1"/>
  <c r="F198" i="1"/>
  <c r="F199" i="1"/>
  <c r="F200" i="1"/>
  <c r="F201" i="1"/>
  <c r="F202" i="1"/>
  <c r="F203" i="1"/>
  <c r="F204" i="1"/>
  <c r="F205" i="1"/>
  <c r="F206" i="1"/>
  <c r="F207" i="1"/>
  <c r="F208" i="1"/>
  <c r="F209" i="1"/>
  <c r="F210" i="1"/>
  <c r="F211" i="1"/>
  <c r="F212" i="1"/>
  <c r="F213" i="1"/>
  <c r="F214" i="1"/>
  <c r="F215" i="1"/>
  <c r="F216" i="1"/>
  <c r="F217" i="1"/>
  <c r="F218" i="1"/>
  <c r="F219" i="1"/>
  <c r="F220" i="1"/>
  <c r="F221" i="1"/>
  <c r="F222" i="1"/>
  <c r="F223" i="1"/>
  <c r="F224" i="1"/>
  <c r="F225" i="1"/>
  <c r="F226" i="1"/>
  <c r="F227" i="1"/>
  <c r="F228" i="1"/>
  <c r="F229" i="1"/>
  <c r="F230" i="1"/>
  <c r="F231" i="1"/>
  <c r="F232" i="1"/>
  <c r="F233" i="1"/>
  <c r="F234" i="1"/>
  <c r="F235" i="1"/>
  <c r="F236" i="1"/>
  <c r="F237" i="1"/>
  <c r="F238" i="1"/>
  <c r="F239" i="1"/>
  <c r="F240" i="1"/>
  <c r="F241" i="1"/>
  <c r="F242" i="1"/>
  <c r="F243" i="1"/>
  <c r="F244" i="1"/>
  <c r="F245" i="1"/>
  <c r="F246" i="1"/>
  <c r="F247" i="1"/>
  <c r="F248" i="1"/>
  <c r="F249" i="1"/>
  <c r="F250" i="1"/>
  <c r="F251" i="1"/>
  <c r="F252" i="1"/>
  <c r="F253" i="1"/>
  <c r="F254" i="1"/>
  <c r="F255" i="1"/>
  <c r="F256" i="1"/>
  <c r="F257" i="1"/>
  <c r="F258" i="1"/>
  <c r="F259" i="1"/>
  <c r="F260" i="1"/>
  <c r="F261" i="1"/>
  <c r="F262" i="1"/>
  <c r="F263" i="1"/>
  <c r="F264" i="1"/>
  <c r="F265" i="1"/>
  <c r="F266" i="1"/>
  <c r="F267" i="1"/>
  <c r="F268" i="1"/>
  <c r="F269" i="1"/>
  <c r="F270" i="1"/>
  <c r="F271" i="1"/>
  <c r="F272" i="1"/>
  <c r="F273" i="1"/>
  <c r="F274" i="1"/>
  <c r="F275" i="1"/>
  <c r="F276" i="1"/>
  <c r="F277" i="1"/>
  <c r="F278" i="1"/>
  <c r="F279" i="1"/>
  <c r="F280" i="1"/>
  <c r="F281" i="1"/>
  <c r="F282" i="1"/>
  <c r="F283" i="1"/>
  <c r="F284" i="1"/>
  <c r="F285" i="1"/>
  <c r="F286" i="1"/>
  <c r="F287" i="1"/>
  <c r="F288" i="1"/>
  <c r="F289" i="1"/>
  <c r="F290" i="1"/>
  <c r="F291" i="1"/>
  <c r="F292" i="1"/>
  <c r="F293" i="1"/>
  <c r="F294" i="1"/>
  <c r="F295" i="1"/>
  <c r="F296" i="1"/>
  <c r="F297" i="1"/>
  <c r="F298" i="1"/>
  <c r="F299" i="1"/>
  <c r="F300" i="1"/>
  <c r="F301" i="1"/>
  <c r="F302" i="1"/>
  <c r="F303" i="1"/>
  <c r="F304" i="1"/>
  <c r="F305" i="1"/>
  <c r="F306" i="1"/>
  <c r="F307" i="1"/>
  <c r="F308" i="1"/>
  <c r="F309" i="1"/>
  <c r="F310" i="1"/>
  <c r="F311" i="1"/>
  <c r="F312" i="1"/>
  <c r="F313" i="1"/>
  <c r="F314" i="1"/>
  <c r="F315" i="1"/>
  <c r="F316" i="1"/>
  <c r="F317" i="1"/>
  <c r="F318" i="1"/>
  <c r="F319" i="1"/>
  <c r="F320" i="1"/>
  <c r="F321" i="1"/>
  <c r="F2" i="1"/>
  <c r="E3" i="1"/>
  <c r="E4" i="1"/>
  <c r="E5" i="1"/>
  <c r="E6" i="1"/>
  <c r="E7" i="1"/>
  <c r="E8" i="1"/>
  <c r="E9" i="1"/>
  <c r="E10" i="1"/>
  <c r="E11" i="1"/>
  <c r="E12" i="1"/>
  <c r="E13" i="1"/>
  <c r="E14" i="1"/>
  <c r="E15" i="1"/>
  <c r="E16" i="1"/>
  <c r="E17" i="1"/>
  <c r="E18" i="1"/>
  <c r="E19" i="1"/>
  <c r="E20" i="1"/>
  <c r="E21" i="1"/>
  <c r="E22" i="1"/>
  <c r="E23" i="1"/>
  <c r="E24" i="1"/>
  <c r="E25" i="1"/>
  <c r="E26" i="1"/>
  <c r="E27" i="1"/>
  <c r="E28" i="1"/>
  <c r="E29" i="1"/>
  <c r="E30" i="1"/>
  <c r="E31" i="1"/>
  <c r="E32" i="1"/>
  <c r="E33" i="1"/>
  <c r="E34" i="1"/>
  <c r="E35" i="1"/>
  <c r="E36" i="1"/>
  <c r="E37" i="1"/>
  <c r="E38" i="1"/>
  <c r="E39" i="1"/>
  <c r="E40" i="1"/>
  <c r="E41" i="1"/>
  <c r="E42" i="1"/>
  <c r="E43" i="1"/>
  <c r="E44" i="1"/>
  <c r="E45" i="1"/>
  <c r="E46" i="1"/>
  <c r="E47" i="1"/>
  <c r="E48" i="1"/>
  <c r="E49" i="1"/>
  <c r="E50" i="1"/>
  <c r="E51" i="1"/>
  <c r="E52" i="1"/>
  <c r="E53" i="1"/>
  <c r="E54" i="1"/>
  <c r="E55" i="1"/>
  <c r="E56" i="1"/>
  <c r="E57" i="1"/>
  <c r="E58" i="1"/>
  <c r="E59" i="1"/>
  <c r="E60" i="1"/>
  <c r="E61" i="1"/>
  <c r="E62" i="1"/>
  <c r="E63" i="1"/>
  <c r="E64" i="1"/>
  <c r="E65" i="1"/>
  <c r="E66" i="1"/>
  <c r="E67" i="1"/>
  <c r="E68" i="1"/>
  <c r="E69" i="1"/>
  <c r="E70" i="1"/>
  <c r="E71" i="1"/>
  <c r="E72" i="1"/>
  <c r="E73" i="1"/>
  <c r="E74" i="1"/>
  <c r="E75" i="1"/>
  <c r="E76" i="1"/>
  <c r="E77" i="1"/>
  <c r="E78" i="1"/>
  <c r="E79" i="1"/>
  <c r="E80" i="1"/>
  <c r="E81" i="1"/>
  <c r="E82" i="1"/>
  <c r="E83" i="1"/>
  <c r="E84" i="1"/>
  <c r="E85" i="1"/>
  <c r="E86" i="1"/>
  <c r="E87" i="1"/>
  <c r="E88" i="1"/>
  <c r="E89" i="1"/>
  <c r="E90" i="1"/>
  <c r="E91" i="1"/>
  <c r="E92" i="1"/>
  <c r="E93" i="1"/>
  <c r="E94" i="1"/>
  <c r="E95" i="1"/>
  <c r="E96" i="1"/>
  <c r="E97" i="1"/>
  <c r="E98" i="1"/>
  <c r="E99" i="1"/>
  <c r="E100" i="1"/>
  <c r="E101" i="1"/>
  <c r="E102" i="1"/>
  <c r="E103" i="1"/>
  <c r="E104" i="1"/>
  <c r="E105" i="1"/>
  <c r="E106" i="1"/>
  <c r="E107" i="1"/>
  <c r="E108" i="1"/>
  <c r="E109" i="1"/>
  <c r="E110" i="1"/>
  <c r="E111" i="1"/>
  <c r="E112" i="1"/>
  <c r="E113" i="1"/>
  <c r="E114" i="1"/>
  <c r="E115" i="1"/>
  <c r="E116" i="1"/>
  <c r="E117" i="1"/>
  <c r="E118" i="1"/>
  <c r="E119" i="1"/>
  <c r="E120" i="1"/>
  <c r="E121" i="1"/>
  <c r="E122" i="1"/>
  <c r="E123" i="1"/>
  <c r="E124" i="1"/>
  <c r="E125" i="1"/>
  <c r="E126" i="1"/>
  <c r="E127" i="1"/>
  <c r="E128" i="1"/>
  <c r="E129" i="1"/>
  <c r="E130" i="1"/>
  <c r="E131" i="1"/>
  <c r="E132" i="1"/>
  <c r="E133" i="1"/>
  <c r="E134" i="1"/>
  <c r="E135" i="1"/>
  <c r="E136" i="1"/>
  <c r="E137" i="1"/>
  <c r="E138" i="1"/>
  <c r="E139" i="1"/>
  <c r="E140" i="1"/>
  <c r="E141" i="1"/>
  <c r="E142" i="1"/>
  <c r="E143" i="1"/>
  <c r="E144" i="1"/>
  <c r="E145" i="1"/>
  <c r="E146" i="1"/>
  <c r="E147" i="1"/>
  <c r="E148" i="1"/>
  <c r="E149" i="1"/>
  <c r="E150" i="1"/>
  <c r="E151" i="1"/>
  <c r="E152" i="1"/>
  <c r="E153" i="1"/>
  <c r="E154" i="1"/>
  <c r="E155" i="1"/>
  <c r="E156" i="1"/>
  <c r="E157" i="1"/>
  <c r="E158" i="1"/>
  <c r="E159" i="1"/>
  <c r="E160" i="1"/>
  <c r="E161" i="1"/>
  <c r="E162" i="1"/>
  <c r="E163" i="1"/>
  <c r="E164" i="1"/>
  <c r="E165" i="1"/>
  <c r="E166" i="1"/>
  <c r="E167" i="1"/>
  <c r="E168" i="1"/>
  <c r="E169" i="1"/>
  <c r="E170" i="1"/>
  <c r="E171" i="1"/>
  <c r="E172" i="1"/>
  <c r="E173" i="1"/>
  <c r="E174" i="1"/>
  <c r="E175" i="1"/>
  <c r="E176" i="1"/>
  <c r="E177" i="1"/>
  <c r="E178" i="1"/>
  <c r="E179" i="1"/>
  <c r="E180" i="1"/>
  <c r="E181" i="1"/>
  <c r="E182" i="1"/>
  <c r="E183" i="1"/>
  <c r="E184" i="1"/>
  <c r="E185" i="1"/>
  <c r="E186" i="1"/>
  <c r="E187" i="1"/>
  <c r="E188" i="1"/>
  <c r="E189" i="1"/>
  <c r="E190" i="1"/>
  <c r="E191" i="1"/>
  <c r="E192" i="1"/>
  <c r="E193" i="1"/>
  <c r="E194" i="1"/>
  <c r="E195" i="1"/>
  <c r="E196" i="1"/>
  <c r="E197" i="1"/>
  <c r="E198" i="1"/>
  <c r="E199" i="1"/>
  <c r="E200" i="1"/>
  <c r="E201" i="1"/>
  <c r="E202" i="1"/>
  <c r="E203" i="1"/>
  <c r="E204" i="1"/>
  <c r="E205" i="1"/>
  <c r="E206" i="1"/>
  <c r="E207" i="1"/>
  <c r="E208" i="1"/>
  <c r="E209" i="1"/>
  <c r="E210" i="1"/>
  <c r="E211" i="1"/>
  <c r="E212" i="1"/>
  <c r="E213" i="1"/>
  <c r="E214" i="1"/>
  <c r="E215" i="1"/>
  <c r="E216" i="1"/>
  <c r="E217" i="1"/>
  <c r="E218" i="1"/>
  <c r="E219" i="1"/>
  <c r="E220" i="1"/>
  <c r="E221" i="1"/>
  <c r="E222" i="1"/>
  <c r="E223" i="1"/>
  <c r="E224" i="1"/>
  <c r="E225" i="1"/>
  <c r="E226" i="1"/>
  <c r="E227" i="1"/>
  <c r="E228" i="1"/>
  <c r="E229" i="1"/>
  <c r="E230" i="1"/>
  <c r="E231" i="1"/>
  <c r="E232" i="1"/>
  <c r="E233" i="1"/>
  <c r="E234" i="1"/>
  <c r="E235" i="1"/>
  <c r="E236" i="1"/>
  <c r="E237" i="1"/>
  <c r="E238" i="1"/>
  <c r="E239" i="1"/>
  <c r="E240" i="1"/>
  <c r="E241" i="1"/>
  <c r="E242" i="1"/>
  <c r="E243" i="1"/>
  <c r="E244" i="1"/>
  <c r="E245" i="1"/>
  <c r="E246" i="1"/>
  <c r="E247" i="1"/>
  <c r="E248" i="1"/>
  <c r="E249" i="1"/>
  <c r="E250" i="1"/>
  <c r="E251" i="1"/>
  <c r="E252" i="1"/>
  <c r="E253" i="1"/>
  <c r="E254" i="1"/>
  <c r="E255" i="1"/>
  <c r="E256" i="1"/>
  <c r="E257" i="1"/>
  <c r="E258" i="1"/>
  <c r="E259" i="1"/>
  <c r="E260" i="1"/>
  <c r="E261" i="1"/>
  <c r="E262" i="1"/>
  <c r="E263" i="1"/>
  <c r="E264" i="1"/>
  <c r="E265" i="1"/>
  <c r="E266" i="1"/>
  <c r="E267" i="1"/>
  <c r="E268" i="1"/>
  <c r="E269" i="1"/>
  <c r="E270" i="1"/>
  <c r="E271" i="1"/>
  <c r="E272" i="1"/>
  <c r="E273" i="1"/>
  <c r="E274" i="1"/>
  <c r="E275" i="1"/>
  <c r="E276" i="1"/>
  <c r="E277" i="1"/>
  <c r="E278" i="1"/>
  <c r="E279" i="1"/>
  <c r="E280" i="1"/>
  <c r="E281" i="1"/>
  <c r="E282" i="1"/>
  <c r="E283" i="1"/>
  <c r="E284" i="1"/>
  <c r="E285" i="1"/>
  <c r="E286" i="1"/>
  <c r="E287" i="1"/>
  <c r="E288" i="1"/>
  <c r="E289" i="1"/>
  <c r="E290" i="1"/>
  <c r="E291" i="1"/>
  <c r="E292" i="1"/>
  <c r="E293" i="1"/>
  <c r="E294" i="1"/>
  <c r="E295" i="1"/>
  <c r="E296" i="1"/>
  <c r="E297" i="1"/>
  <c r="E298" i="1"/>
  <c r="E299" i="1"/>
  <c r="E300" i="1"/>
  <c r="E301" i="1"/>
  <c r="E302" i="1"/>
  <c r="E303" i="1"/>
  <c r="E304" i="1"/>
  <c r="E305" i="1"/>
  <c r="E306" i="1"/>
  <c r="E307" i="1"/>
  <c r="E308" i="1"/>
  <c r="E309" i="1"/>
  <c r="E310" i="1"/>
  <c r="E311" i="1"/>
  <c r="E312" i="1"/>
  <c r="E313" i="1"/>
  <c r="E314" i="1"/>
  <c r="E315" i="1"/>
  <c r="E316" i="1"/>
  <c r="E317" i="1"/>
  <c r="E318" i="1"/>
  <c r="E319" i="1"/>
  <c r="E320" i="1"/>
  <c r="E321" i="1"/>
  <c r="E2" i="1"/>
</calcChain>
</file>

<file path=xl/sharedStrings.xml><?xml version="1.0" encoding="utf-8"?>
<sst xmlns="http://schemas.openxmlformats.org/spreadsheetml/2006/main" count="1226" uniqueCount="189">
  <si>
    <t>store_id</t>
  </si>
  <si>
    <t>month</t>
  </si>
  <si>
    <t>region</t>
  </si>
  <si>
    <t>store_type</t>
  </si>
  <si>
    <t>marketing_spend</t>
  </si>
  <si>
    <t>footfall</t>
  </si>
  <si>
    <t>avg_discount_pct</t>
  </si>
  <si>
    <t>staff_count</t>
  </si>
  <si>
    <t>inventory_availability_pct</t>
  </si>
  <si>
    <t>competitor_distance_km</t>
  </si>
  <si>
    <t>holiday_flag</t>
  </si>
  <si>
    <t>customer_rating</t>
  </si>
  <si>
    <t>monthly_sales</t>
  </si>
  <si>
    <t>monthly_profit</t>
  </si>
  <si>
    <t>STR-1001</t>
  </si>
  <si>
    <t>East</t>
  </si>
  <si>
    <t>Residential</t>
  </si>
  <si>
    <t>STR-1002</t>
  </si>
  <si>
    <t>High Street</t>
  </si>
  <si>
    <t>STR-1003</t>
  </si>
  <si>
    <t>North</t>
  </si>
  <si>
    <t>Airport</t>
  </si>
  <si>
    <t>STR-1004</t>
  </si>
  <si>
    <t>STR-1005</t>
  </si>
  <si>
    <t>South</t>
  </si>
  <si>
    <t>STR-1006</t>
  </si>
  <si>
    <t>STR-1007</t>
  </si>
  <si>
    <t>West</t>
  </si>
  <si>
    <t>Mall</t>
  </si>
  <si>
    <t>STR-1008</t>
  </si>
  <si>
    <t>STR-1009</t>
  </si>
  <si>
    <t>STR-1010</t>
  </si>
  <si>
    <t>STR-1011</t>
  </si>
  <si>
    <t>STR-1012</t>
  </si>
  <si>
    <t>STR-1013</t>
  </si>
  <si>
    <t>STR-1014</t>
  </si>
  <si>
    <t>STR-1015</t>
  </si>
  <si>
    <t>STR-1016</t>
  </si>
  <si>
    <t>STR-1017</t>
  </si>
  <si>
    <t>STR-1018</t>
  </si>
  <si>
    <t>STR-1019</t>
  </si>
  <si>
    <t>STR-1020</t>
  </si>
  <si>
    <t>STR-1021</t>
  </si>
  <si>
    <t>STR-1022</t>
  </si>
  <si>
    <t>STR-1023</t>
  </si>
  <si>
    <t>STR-1024</t>
  </si>
  <si>
    <t>STR-1025</t>
  </si>
  <si>
    <t>STR-1026</t>
  </si>
  <si>
    <t>STR-1027</t>
  </si>
  <si>
    <t>STR-1028</t>
  </si>
  <si>
    <t>STR-1029</t>
  </si>
  <si>
    <t>STR-1030</t>
  </si>
  <si>
    <t>STR-1031</t>
  </si>
  <si>
    <t>STR-1032</t>
  </si>
  <si>
    <t>STR-1033</t>
  </si>
  <si>
    <t>STR-1034</t>
  </si>
  <si>
    <t>STR-1035</t>
  </si>
  <si>
    <t>STR-1036</t>
  </si>
  <si>
    <t>STR-1037</t>
  </si>
  <si>
    <t>STR-1038</t>
  </si>
  <si>
    <t>STR-1039</t>
  </si>
  <si>
    <t>STR-1040</t>
  </si>
  <si>
    <t>STR-1041</t>
  </si>
  <si>
    <t>STR-1042</t>
  </si>
  <si>
    <t>STR-1043</t>
  </si>
  <si>
    <t>STR-1044</t>
  </si>
  <si>
    <t>STR-1045</t>
  </si>
  <si>
    <t>STR-1046</t>
  </si>
  <si>
    <t>STR-1047</t>
  </si>
  <si>
    <t>STR-1048</t>
  </si>
  <si>
    <t>STR-1049</t>
  </si>
  <si>
    <t>STR-1050</t>
  </si>
  <si>
    <t>STR-1051</t>
  </si>
  <si>
    <t>STR-1052</t>
  </si>
  <si>
    <t>STR-1053</t>
  </si>
  <si>
    <t>STR-1054</t>
  </si>
  <si>
    <t>STR-1055</t>
  </si>
  <si>
    <t>STR-1056</t>
  </si>
  <si>
    <t>STR-1057</t>
  </si>
  <si>
    <t>STR-1058</t>
  </si>
  <si>
    <t>STR-1059</t>
  </si>
  <si>
    <t>STR-1060</t>
  </si>
  <si>
    <t>STR-1061</t>
  </si>
  <si>
    <t>STR-1062</t>
  </si>
  <si>
    <t>STR-1063</t>
  </si>
  <si>
    <t>STR-1064</t>
  </si>
  <si>
    <t>STR-1065</t>
  </si>
  <si>
    <t>STR-1066</t>
  </si>
  <si>
    <t>STR-1067</t>
  </si>
  <si>
    <t>STR-1068</t>
  </si>
  <si>
    <t>STR-1069</t>
  </si>
  <si>
    <t>STR-1070</t>
  </si>
  <si>
    <t>STR-1071</t>
  </si>
  <si>
    <t>STR-1072</t>
  </si>
  <si>
    <t>STR-1073</t>
  </si>
  <si>
    <t>STR-1074</t>
  </si>
  <si>
    <t>STR-1075</t>
  </si>
  <si>
    <t>STR-1076</t>
  </si>
  <si>
    <t>STR-1077</t>
  </si>
  <si>
    <t>STR-1078</t>
  </si>
  <si>
    <t>STR-1079</t>
  </si>
  <si>
    <t>STR-1080</t>
  </si>
  <si>
    <t xml:space="preserve"> South Dummy</t>
  </si>
  <si>
    <t>East Dummy</t>
  </si>
  <si>
    <t>West Dummy</t>
  </si>
  <si>
    <t>SUMMARY OUTPUT</t>
  </si>
  <si>
    <t>Regression Statistics</t>
  </si>
  <si>
    <t>Multiple R</t>
  </si>
  <si>
    <t>R Square</t>
  </si>
  <si>
    <t>Adjusted R Square</t>
  </si>
  <si>
    <t>Standard Error</t>
  </si>
  <si>
    <t>Observations</t>
  </si>
  <si>
    <t>ANOVA</t>
  </si>
  <si>
    <t>Regression</t>
  </si>
  <si>
    <t>Residual</t>
  </si>
  <si>
    <t>Total</t>
  </si>
  <si>
    <t>Intercept</t>
  </si>
  <si>
    <t>df</t>
  </si>
  <si>
    <t>SS</t>
  </si>
  <si>
    <t>MS</t>
  </si>
  <si>
    <t>F</t>
  </si>
  <si>
    <t>Significance F</t>
  </si>
  <si>
    <t>Coefficients</t>
  </si>
  <si>
    <t>t Stat</t>
  </si>
  <si>
    <t>P-value</t>
  </si>
  <si>
    <t>Lower 95%</t>
  </si>
  <si>
    <t>Upper 95%</t>
  </si>
  <si>
    <t>Lower 95.0%</t>
  </si>
  <si>
    <t>Upper 95.0%</t>
  </si>
  <si>
    <t>Coefficient</t>
  </si>
  <si>
    <t>R-squared</t>
  </si>
  <si>
    <t>Regression equation</t>
  </si>
  <si>
    <t>Independent Variable</t>
  </si>
  <si>
    <t>Business Interpretation</t>
  </si>
  <si>
    <t>Whether the Variable Appears Useful?</t>
  </si>
  <si>
    <r>
      <t xml:space="preserve">Marketing spend has a positive relationship with monthly sales. The coefficient (2.13) indicates that every additional ₹1 spent on marketing is associated with an increase of approximately ₹2.13 in monthly sales. Although the model explains only </t>
    </r>
    <r>
      <rPr>
        <b/>
        <sz val="11"/>
        <rFont val="Carlito"/>
      </rPr>
      <t>16.72%</t>
    </r>
    <r>
      <rPr>
        <sz val="11"/>
        <rFont val="Carlito"/>
      </rPr>
      <t xml:space="preserve"> of the variation in sales, the very small p-value indicates the relationship is statistically significant.</t>
    </r>
  </si>
  <si>
    <r>
      <t>Yes.</t>
    </r>
    <r>
      <rPr>
        <sz val="11"/>
        <rFont val="Carlito"/>
      </rPr>
      <t xml:space="preserve"> The variable is statistically significant (p &lt; 0.05) and has a positive effect on sales, making it a useful predictor.</t>
    </r>
  </si>
  <si>
    <r>
      <t xml:space="preserve">Footfall has a strong positive relationship with monthly sales. The coefficient (35.68) suggests that each additional customer visiting the store is associated with an increase of approximately ₹35.68 in monthly sales. The model explains </t>
    </r>
    <r>
      <rPr>
        <b/>
        <sz val="11"/>
        <rFont val="Carlito"/>
      </rPr>
      <t>73.63%</t>
    </r>
    <r>
      <rPr>
        <sz val="11"/>
        <rFont val="Carlito"/>
      </rPr>
      <t xml:space="preserve"> of the variation in sales, indicating excellent predictive power.</t>
    </r>
  </si>
  <si>
    <r>
      <t>Yes.</t>
    </r>
    <r>
      <rPr>
        <sz val="11"/>
        <rFont val="Carlito"/>
      </rPr>
      <t xml:space="preserve"> This is the strongest predictor among the simple regression models. It has a high R² and an extremely small p-value, making it highly useful for predicting monthly sales.</t>
    </r>
  </si>
  <si>
    <t>Average discount percentage has a negative relationship with monthly sales. The negative coefficient (-138,730.45) suggests that increasing discounts may reduce monthly sales in this dataset. However, the relationship is not statistically significant.</t>
  </si>
  <si>
    <r>
      <t>No.</t>
    </r>
    <r>
      <rPr>
        <sz val="11"/>
        <rFont val="Carlito"/>
      </rPr>
      <t xml:space="preserve"> Since the p-value (0.104) is greater than 0.05 and the R² is only </t>
    </r>
    <r>
      <rPr>
        <b/>
        <sz val="11"/>
        <rFont val="Carlito"/>
      </rPr>
      <t>0.83%</t>
    </r>
    <r>
      <rPr>
        <sz val="11"/>
        <rFont val="Carlito"/>
      </rPr>
      <t>, this variable should not be interpreted as having a meaningful effect on monthly sales.</t>
    </r>
  </si>
  <si>
    <r>
      <t xml:space="preserve">Inventory availability has a positive relationship with monthly sales. The coefficient (2,217.83) indicates that better inventory availability is associated with higher monthly sales. However, the model explains only </t>
    </r>
    <r>
      <rPr>
        <b/>
        <sz val="11"/>
        <rFont val="Carlito"/>
      </rPr>
      <t>1.31%</t>
    </r>
    <r>
      <rPr>
        <sz val="11"/>
        <rFont val="Carlito"/>
      </rPr>
      <t xml:space="preserve"> of the variation in sales.</t>
    </r>
  </si>
  <si>
    <r>
      <t>Partially.</t>
    </r>
    <r>
      <rPr>
        <sz val="11"/>
        <rFont val="Carlito"/>
      </rPr>
      <t xml:space="preserve"> The variable is statistically significant (p = 0.0406), but its very low R² indicates that, by itself, it is a weak predictor of monthly sales. It may become more useful when combined with other variables in a multiple regression model.</t>
    </r>
  </si>
  <si>
    <t>Customer rating has a positive relationship with monthly sales. Higher customer ratings are associated with higher sales, but the relationship is weak and not statistically significant.</t>
  </si>
  <si>
    <r>
      <t>No.</t>
    </r>
    <r>
      <rPr>
        <sz val="11"/>
        <rFont val="Carlito"/>
      </rPr>
      <t xml:space="preserve"> The p-value (0.245) is greater than 0.05 and the R² is only </t>
    </r>
    <r>
      <rPr>
        <b/>
        <sz val="11"/>
        <rFont val="Carlito"/>
      </rPr>
      <t>0.42%</t>
    </r>
    <r>
      <rPr>
        <sz val="11"/>
        <rFont val="Carlito"/>
      </rPr>
      <t>, indicating that customer rating alone is not a reliable predictor of monthly sales in this dataset.</t>
    </r>
  </si>
  <si>
    <t>1. Intercept</t>
  </si>
  <si>
    <t>2. Coefficients</t>
  </si>
  <si>
    <t>4. P-values</t>
  </si>
  <si>
    <t>RESIDUAL OUTPUT</t>
  </si>
  <si>
    <t>Observation</t>
  </si>
  <si>
    <t>Predicted monthly_sales</t>
  </si>
  <si>
    <t>Residuals</t>
  </si>
  <si>
    <t>Standard Residuals</t>
  </si>
  <si>
    <t>Multiple Regression Equation</t>
  </si>
  <si>
    <t>Interpretation:</t>
  </si>
  <si>
    <t>The intercept represents the estimated monthly sales when all independent variables are equal to zero and the store belongs to the reference region (the region for which the dummy variable equals 0). While this situation is unlikely in practice, the intercept provides the baseline value for the regression model.</t>
  </si>
  <si>
    <t>Variable</t>
  </si>
  <si>
    <t>Interpretation</t>
  </si>
  <si>
    <t>Marketing Spend</t>
  </si>
  <si>
    <t>Footfall</t>
  </si>
  <si>
    <t>Average Discount %</t>
  </si>
  <si>
    <t>−88,560.59</t>
  </si>
  <si>
    <t>3. R-squared (R²)</t>
  </si>
  <si>
    <t>Not statistically significant (p &gt; 0.05).</t>
  </si>
  <si>
    <t>Highly statistically significant.</t>
  </si>
  <si>
    <t>Extremely statistically significant.</t>
  </si>
  <si>
    <t>Statistically significant (p &lt; 0.05).</t>
  </si>
  <si>
    <t>5. Direction of Relationship</t>
  </si>
  <si>
    <t>Relationship</t>
  </si>
  <si>
    <t>Positive</t>
  </si>
  <si>
    <t>Negative</t>
  </si>
  <si>
    <t>6. Business Meaning of Important Variables</t>
  </si>
  <si>
    <t>Marketing expenditure has a positive and statistically significant impact on monthly sales. Increasing investment in marketing is associated with higher sales revenue, making marketing an important driver of store performance.</t>
  </si>
  <si>
    <t>Footfall is the strongest predictor in the model. Stores with higher customer traffic consistently generate higher monthly sales, indicating that attracting more customers should be a key business objective.</t>
  </si>
  <si>
    <t>Average Discount Percentage</t>
  </si>
  <si>
    <t>Average discount percentage has a statistically significant negative relationship with monthly sales. This suggests that larger discounts may reduce overall sales revenue, possibly because excessive discounting lowers average transaction values or reflects weaker sales performance.</t>
  </si>
  <si>
    <t>7. Variables That Are Statistically Weak or Difficult to Interpret</t>
  </si>
  <si>
    <t>Not statistically significant.</t>
  </si>
  <si>
    <t>Although the coefficient is positive, there is insufficient statistical evidence to conclude that stores in the West region perform differently from stores in the reference region after accounting for marketing spend, footfall, and discount percentage. Therefore, this variable should be interpreted cautiously and should not be considered a strong predictor of monthly sales.</t>
  </si>
  <si>
    <t xml:space="preserve">Intercept </t>
  </si>
  <si>
    <t xml:space="preserve">R² </t>
  </si>
  <si>
    <t>Stores in the West region are predicted to have approximately ₹10,437 higher monthly sales than stores in the reference region, after controlling for the other variables. However, this difference is not statistically significant.</t>
  </si>
  <si>
    <t>Every additional ₹1 spent on marketing is associated with an increase of approximately ₹1.14 in monthly sales, holding other variables constant.</t>
  </si>
  <si>
    <t>Every additional customer visiting the store is associated with an increase of approximately ₹33.56 in monthly sales, holding other variables constant.</t>
  </si>
  <si>
    <t>A one-unit increase in the average discount percentage is associated with a decrease of approximately ₹88,561 in monthly sales, after controlling for the other variables.</t>
  </si>
  <si>
    <t>The regression model explains 78.73% of the variation in monthly sales, indicating that the selected independent variables provide a strong explanation of differences in monthly sales across stores.</t>
  </si>
  <si>
    <t>Positive, but statistically insignificant</t>
  </si>
  <si>
    <t xml:space="preserve"> (&gt; 0.05)</t>
  </si>
  <si>
    <t xml:space="preserve">P-value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</si>
</sst>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164" formatCode="yyyy\-mm"/>
    <numFmt numFmtId="165" formatCode="0.00000000"/>
    <numFmt numFmtId="166" formatCode="0.0000000000000000"/>
  </numFmts>
  <fonts count="9">
    <font>
      <sz val="11"/>
      <name val="Carlito"/>
    </font>
    <font>
      <b/>
      <sz val="11"/>
      <color rgb="FFFFFFFF"/>
      <name val="Carlito"/>
    </font>
    <font>
      <i/>
      <sz val="11"/>
      <name val="Carlito"/>
    </font>
    <font>
      <sz val="11"/>
      <name val="Times New Roman"/>
      <family val="1"/>
    </font>
    <font>
      <sz val="12"/>
      <color theme="1"/>
      <name val="Times New Roman"/>
      <family val="1"/>
    </font>
    <font>
      <b/>
      <sz val="11"/>
      <name val="Carlito"/>
    </font>
    <font>
      <b/>
      <sz val="11"/>
      <name val="Times New Roman"/>
      <family val="1"/>
    </font>
    <font>
      <sz val="18"/>
      <name val="Times New Roman"/>
      <family val="1"/>
    </font>
    <font>
      <sz val="13.5"/>
      <name val="Times New Roman"/>
      <family val="1"/>
    </font>
  </fonts>
  <fills count="5">
    <fill>
      <patternFill patternType="none"/>
    </fill>
    <fill>
      <patternFill patternType="gray125"/>
    </fill>
    <fill>
      <patternFill patternType="solid">
        <fgColor rgb="FF365F91"/>
      </patternFill>
    </fill>
    <fill>
      <patternFill patternType="solid">
        <fgColor rgb="FFFFFF00"/>
        <bgColor indexed="64"/>
      </patternFill>
    </fill>
    <fill>
      <patternFill patternType="solid">
        <fgColor theme="3" tint="0.89999084444715716"/>
        <bgColor indexed="64"/>
      </patternFill>
    </fill>
  </fills>
  <borders count="5">
    <border>
      <left/>
      <right/>
      <top/>
      <bottom/>
      <diagonal/>
    </border>
    <border>
      <left/>
      <right/>
      <top/>
      <bottom/>
      <diagonal/>
    </border>
    <border>
      <left/>
      <right/>
      <top/>
      <bottom style="medium">
        <color indexed="64"/>
      </bottom>
      <diagonal/>
    </border>
    <border>
      <left/>
      <right/>
      <top style="medium">
        <color indexed="64"/>
      </top>
      <bottom style="thin">
        <color indexed="64"/>
      </bottom>
      <diagonal/>
    </border>
    <border>
      <left style="thin">
        <color indexed="64"/>
      </left>
      <right style="thin">
        <color indexed="64"/>
      </right>
      <top style="thin">
        <color indexed="64"/>
      </top>
      <bottom style="thin">
        <color indexed="64"/>
      </bottom>
      <diagonal/>
    </border>
  </borders>
  <cellStyleXfs count="1">
    <xf numFmtId="0" fontId="0" fillId="0" borderId="0"/>
  </cellStyleXfs>
  <cellXfs count="28">
    <xf numFmtId="0" fontId="0" fillId="0" borderId="0" xfId="0"/>
    <xf numFmtId="0" fontId="1" fillId="2" borderId="0" xfId="0" applyNumberFormat="1" applyFont="1" applyFill="1" applyBorder="1" applyAlignment="1">
      <alignment horizontal="center" vertical="center" wrapText="1"/>
    </xf>
    <xf numFmtId="0" fontId="1" fillId="2" borderId="1" xfId="0" applyNumberFormat="1" applyFont="1" applyFill="1" applyBorder="1" applyAlignment="1">
      <alignment horizontal="center" vertical="center" wrapText="1"/>
    </xf>
    <xf numFmtId="0" fontId="0" fillId="0" borderId="0" xfId="0" applyNumberFormat="1" applyFont="1" applyFill="1" applyBorder="1" applyAlignment="1"/>
    <xf numFmtId="0" fontId="0" fillId="0" borderId="1" xfId="0" applyNumberFormat="1" applyFont="1" applyFill="1" applyBorder="1" applyAlignment="1"/>
    <xf numFmtId="164" fontId="0" fillId="0" borderId="0" xfId="0" applyNumberFormat="1" applyFont="1" applyFill="1" applyBorder="1" applyAlignment="1"/>
    <xf numFmtId="0" fontId="0" fillId="0" borderId="1" xfId="0" applyFill="1" applyBorder="1" applyAlignment="1"/>
    <xf numFmtId="0" fontId="0" fillId="0" borderId="2" xfId="0" applyFill="1" applyBorder="1" applyAlignment="1"/>
    <xf numFmtId="0" fontId="2" fillId="0" borderId="3" xfId="0" applyFont="1" applyFill="1" applyBorder="1" applyAlignment="1">
      <alignment horizontal="center"/>
    </xf>
    <xf numFmtId="0" fontId="2" fillId="0" borderId="3" xfId="0" applyFont="1" applyFill="1" applyBorder="1" applyAlignment="1">
      <alignment horizontal="centerContinuous"/>
    </xf>
    <xf numFmtId="0" fontId="3" fillId="0" borderId="0" xfId="0" applyFont="1"/>
    <xf numFmtId="0" fontId="5" fillId="0" borderId="0" xfId="0" applyFont="1" applyAlignment="1">
      <alignment horizontal="center" vertical="center" wrapText="1"/>
    </xf>
    <xf numFmtId="0" fontId="0" fillId="0" borderId="0" xfId="0" applyAlignment="1">
      <alignment vertical="center" wrapText="1"/>
    </xf>
    <xf numFmtId="0" fontId="5" fillId="0" borderId="0" xfId="0" applyFont="1" applyAlignment="1">
      <alignment vertical="center" wrapText="1"/>
    </xf>
    <xf numFmtId="0" fontId="4" fillId="3" borderId="4" xfId="0" applyFont="1" applyFill="1" applyBorder="1" applyAlignment="1">
      <alignment horizontal="center"/>
    </xf>
    <xf numFmtId="0" fontId="4" fillId="3" borderId="4" xfId="0" applyFont="1" applyFill="1" applyBorder="1" applyAlignment="1">
      <alignment horizontal="center" wrapText="1"/>
    </xf>
    <xf numFmtId="166" fontId="4" fillId="3" borderId="4" xfId="0" applyNumberFormat="1" applyFont="1" applyFill="1" applyBorder="1" applyAlignment="1">
      <alignment horizontal="center"/>
    </xf>
    <xf numFmtId="0" fontId="4" fillId="4" borderId="4" xfId="0" applyFont="1" applyFill="1" applyBorder="1" applyAlignment="1">
      <alignment horizontal="center"/>
    </xf>
    <xf numFmtId="0" fontId="4" fillId="4" borderId="4" xfId="0" applyFont="1" applyFill="1" applyBorder="1" applyAlignment="1">
      <alignment horizontal="center" wrapText="1"/>
    </xf>
    <xf numFmtId="0" fontId="3" fillId="0" borderId="0" xfId="0" applyFont="1" applyAlignment="1">
      <alignment vertical="center" wrapText="1"/>
    </xf>
    <xf numFmtId="0" fontId="3" fillId="0" borderId="0" xfId="0" applyFont="1" applyAlignment="1">
      <alignment horizontal="left" vertical="center" indent="1"/>
    </xf>
    <xf numFmtId="0" fontId="7" fillId="0" borderId="0" xfId="0" applyFont="1" applyAlignment="1">
      <alignment vertical="center"/>
    </xf>
    <xf numFmtId="0" fontId="3" fillId="0" borderId="0" xfId="0" applyFont="1" applyAlignment="1">
      <alignment horizontal="center" vertical="center" wrapText="1"/>
    </xf>
    <xf numFmtId="0" fontId="8" fillId="0" borderId="0" xfId="0" applyFont="1" applyAlignment="1">
      <alignment vertical="center"/>
    </xf>
    <xf numFmtId="165" fontId="3" fillId="0" borderId="0" xfId="0" applyNumberFormat="1" applyFont="1"/>
    <xf numFmtId="0" fontId="3" fillId="0" borderId="4" xfId="0" applyFont="1" applyBorder="1" applyAlignment="1">
      <alignment vertical="center" wrapText="1"/>
    </xf>
    <xf numFmtId="4" fontId="3" fillId="0" borderId="4" xfId="0" applyNumberFormat="1" applyFont="1" applyBorder="1" applyAlignment="1">
      <alignment vertical="center" wrapText="1"/>
    </xf>
    <xf numFmtId="0" fontId="6" fillId="0" borderId="4" xfId="0" applyFont="1" applyBorder="1" applyAlignment="1">
      <alignment horizontal="center" vertic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theme" Target="theme/theme1.xml"/><Relationship Id="rId5" Type="http://schemas.openxmlformats.org/officeDocument/2006/relationships/worksheet" Target="worksheets/sheet5.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calcChain" Target="calcChain.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a:pPr>
            <a:r>
              <a:rPr lang="en-IN"/>
              <a:t>West Dummy  Residual Plot</a:t>
            </a:r>
          </a:p>
        </c:rich>
      </c:tx>
      <c:overlay val="0"/>
    </c:title>
    <c:autoTitleDeleted val="0"/>
    <c:plotArea>
      <c:layout/>
      <c:scatterChart>
        <c:scatterStyle val="lineMarker"/>
        <c:varyColors val="0"/>
        <c:ser>
          <c:idx val="0"/>
          <c:order val="0"/>
          <c:spPr>
            <a:ln w="38100">
              <a:noFill/>
            </a:ln>
          </c:spPr>
          <c:xVal>
            <c:numRef>
              <c:f>store_performance!$G$2:$G$321</c:f>
              <c:numCache>
                <c:formatCode>General</c:formatCode>
                <c:ptCount val="320"/>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pt idx="24">
                  <c:v>1</c:v>
                </c:pt>
                <c:pt idx="25">
                  <c:v>1</c:v>
                </c:pt>
                <c:pt idx="26">
                  <c:v>1</c:v>
                </c:pt>
                <c:pt idx="27">
                  <c:v>1</c:v>
                </c:pt>
                <c:pt idx="28">
                  <c:v>0</c:v>
                </c:pt>
                <c:pt idx="29">
                  <c:v>0</c:v>
                </c:pt>
                <c:pt idx="30">
                  <c:v>0</c:v>
                </c:pt>
                <c:pt idx="31">
                  <c:v>0</c:v>
                </c:pt>
                <c:pt idx="32">
                  <c:v>0</c:v>
                </c:pt>
                <c:pt idx="33">
                  <c:v>0</c:v>
                </c:pt>
                <c:pt idx="34">
                  <c:v>0</c:v>
                </c:pt>
                <c:pt idx="35">
                  <c:v>0</c:v>
                </c:pt>
                <c:pt idx="36">
                  <c:v>0</c:v>
                </c:pt>
                <c:pt idx="37">
                  <c:v>0</c:v>
                </c:pt>
                <c:pt idx="38">
                  <c:v>0</c:v>
                </c:pt>
                <c:pt idx="39">
                  <c:v>0</c:v>
                </c:pt>
                <c:pt idx="40">
                  <c:v>0</c:v>
                </c:pt>
                <c:pt idx="41">
                  <c:v>0</c:v>
                </c:pt>
                <c:pt idx="42">
                  <c:v>0</c:v>
                </c:pt>
                <c:pt idx="43">
                  <c:v>0</c:v>
                </c:pt>
                <c:pt idx="44">
                  <c:v>1</c:v>
                </c:pt>
                <c:pt idx="45">
                  <c:v>1</c:v>
                </c:pt>
                <c:pt idx="46">
                  <c:v>1</c:v>
                </c:pt>
                <c:pt idx="47">
                  <c:v>1</c:v>
                </c:pt>
                <c:pt idx="48">
                  <c:v>0</c:v>
                </c:pt>
                <c:pt idx="49">
                  <c:v>0</c:v>
                </c:pt>
                <c:pt idx="50">
                  <c:v>0</c:v>
                </c:pt>
                <c:pt idx="51">
                  <c:v>0</c:v>
                </c:pt>
                <c:pt idx="52">
                  <c:v>1</c:v>
                </c:pt>
                <c:pt idx="53">
                  <c:v>1</c:v>
                </c:pt>
                <c:pt idx="54">
                  <c:v>1</c:v>
                </c:pt>
                <c:pt idx="55">
                  <c:v>1</c:v>
                </c:pt>
                <c:pt idx="56">
                  <c:v>0</c:v>
                </c:pt>
                <c:pt idx="57">
                  <c:v>0</c:v>
                </c:pt>
                <c:pt idx="58">
                  <c:v>0</c:v>
                </c:pt>
                <c:pt idx="59">
                  <c:v>0</c:v>
                </c:pt>
                <c:pt idx="60">
                  <c:v>0</c:v>
                </c:pt>
                <c:pt idx="61">
                  <c:v>0</c:v>
                </c:pt>
                <c:pt idx="62">
                  <c:v>0</c:v>
                </c:pt>
                <c:pt idx="63">
                  <c:v>0</c:v>
                </c:pt>
                <c:pt idx="64">
                  <c:v>1</c:v>
                </c:pt>
                <c:pt idx="65">
                  <c:v>1</c:v>
                </c:pt>
                <c:pt idx="66">
                  <c:v>1</c:v>
                </c:pt>
                <c:pt idx="67">
                  <c:v>1</c:v>
                </c:pt>
                <c:pt idx="68">
                  <c:v>0</c:v>
                </c:pt>
                <c:pt idx="69">
                  <c:v>0</c:v>
                </c:pt>
                <c:pt idx="70">
                  <c:v>0</c:v>
                </c:pt>
                <c:pt idx="71">
                  <c:v>0</c:v>
                </c:pt>
                <c:pt idx="72">
                  <c:v>0</c:v>
                </c:pt>
                <c:pt idx="73">
                  <c:v>0</c:v>
                </c:pt>
                <c:pt idx="74">
                  <c:v>0</c:v>
                </c:pt>
                <c:pt idx="75">
                  <c:v>0</c:v>
                </c:pt>
                <c:pt idx="76">
                  <c:v>0</c:v>
                </c:pt>
                <c:pt idx="77">
                  <c:v>0</c:v>
                </c:pt>
                <c:pt idx="78">
                  <c:v>0</c:v>
                </c:pt>
                <c:pt idx="79">
                  <c:v>0</c:v>
                </c:pt>
                <c:pt idx="80">
                  <c:v>1</c:v>
                </c:pt>
                <c:pt idx="81">
                  <c:v>1</c:v>
                </c:pt>
                <c:pt idx="82">
                  <c:v>1</c:v>
                </c:pt>
                <c:pt idx="83">
                  <c:v>1</c:v>
                </c:pt>
                <c:pt idx="84">
                  <c:v>1</c:v>
                </c:pt>
                <c:pt idx="85">
                  <c:v>1</c:v>
                </c:pt>
                <c:pt idx="86">
                  <c:v>1</c:v>
                </c:pt>
                <c:pt idx="87">
                  <c:v>1</c:v>
                </c:pt>
                <c:pt idx="88">
                  <c:v>0</c:v>
                </c:pt>
                <c:pt idx="89">
                  <c:v>0</c:v>
                </c:pt>
                <c:pt idx="90">
                  <c:v>0</c:v>
                </c:pt>
                <c:pt idx="91">
                  <c:v>0</c:v>
                </c:pt>
                <c:pt idx="92">
                  <c:v>1</c:v>
                </c:pt>
                <c:pt idx="93">
                  <c:v>1</c:v>
                </c:pt>
                <c:pt idx="94">
                  <c:v>1</c:v>
                </c:pt>
                <c:pt idx="95">
                  <c:v>1</c:v>
                </c:pt>
                <c:pt idx="96">
                  <c:v>1</c:v>
                </c:pt>
                <c:pt idx="97">
                  <c:v>1</c:v>
                </c:pt>
                <c:pt idx="98">
                  <c:v>1</c:v>
                </c:pt>
                <c:pt idx="99">
                  <c:v>1</c:v>
                </c:pt>
                <c:pt idx="100">
                  <c:v>0</c:v>
                </c:pt>
                <c:pt idx="101">
                  <c:v>0</c:v>
                </c:pt>
                <c:pt idx="102">
                  <c:v>0</c:v>
                </c:pt>
                <c:pt idx="103">
                  <c:v>0</c:v>
                </c:pt>
                <c:pt idx="104">
                  <c:v>1</c:v>
                </c:pt>
                <c:pt idx="105">
                  <c:v>1</c:v>
                </c:pt>
                <c:pt idx="106">
                  <c:v>1</c:v>
                </c:pt>
                <c:pt idx="107">
                  <c:v>1</c:v>
                </c:pt>
                <c:pt idx="108">
                  <c:v>0</c:v>
                </c:pt>
                <c:pt idx="109">
                  <c:v>0</c:v>
                </c:pt>
                <c:pt idx="110">
                  <c:v>0</c:v>
                </c:pt>
                <c:pt idx="111">
                  <c:v>0</c:v>
                </c:pt>
                <c:pt idx="112">
                  <c:v>1</c:v>
                </c:pt>
                <c:pt idx="113">
                  <c:v>1</c:v>
                </c:pt>
                <c:pt idx="114">
                  <c:v>1</c:v>
                </c:pt>
                <c:pt idx="115">
                  <c:v>1</c:v>
                </c:pt>
                <c:pt idx="116">
                  <c:v>1</c:v>
                </c:pt>
                <c:pt idx="117">
                  <c:v>1</c:v>
                </c:pt>
                <c:pt idx="118">
                  <c:v>1</c:v>
                </c:pt>
                <c:pt idx="119">
                  <c:v>1</c:v>
                </c:pt>
                <c:pt idx="120">
                  <c:v>0</c:v>
                </c:pt>
                <c:pt idx="121">
                  <c:v>0</c:v>
                </c:pt>
                <c:pt idx="122">
                  <c:v>0</c:v>
                </c:pt>
                <c:pt idx="123">
                  <c:v>0</c:v>
                </c:pt>
                <c:pt idx="124">
                  <c:v>0</c:v>
                </c:pt>
                <c:pt idx="125">
                  <c:v>0</c:v>
                </c:pt>
                <c:pt idx="126">
                  <c:v>0</c:v>
                </c:pt>
                <c:pt idx="127">
                  <c:v>0</c:v>
                </c:pt>
                <c:pt idx="128">
                  <c:v>0</c:v>
                </c:pt>
                <c:pt idx="129">
                  <c:v>0</c:v>
                </c:pt>
                <c:pt idx="130">
                  <c:v>0</c:v>
                </c:pt>
                <c:pt idx="131">
                  <c:v>0</c:v>
                </c:pt>
                <c:pt idx="132">
                  <c:v>0</c:v>
                </c:pt>
                <c:pt idx="133">
                  <c:v>0</c:v>
                </c:pt>
                <c:pt idx="134">
                  <c:v>0</c:v>
                </c:pt>
                <c:pt idx="135">
                  <c:v>0</c:v>
                </c:pt>
                <c:pt idx="136">
                  <c:v>0</c:v>
                </c:pt>
                <c:pt idx="137">
                  <c:v>0</c:v>
                </c:pt>
                <c:pt idx="138">
                  <c:v>0</c:v>
                </c:pt>
                <c:pt idx="139">
                  <c:v>0</c:v>
                </c:pt>
                <c:pt idx="140">
                  <c:v>1</c:v>
                </c:pt>
                <c:pt idx="141">
                  <c:v>1</c:v>
                </c:pt>
                <c:pt idx="142">
                  <c:v>1</c:v>
                </c:pt>
                <c:pt idx="143">
                  <c:v>1</c:v>
                </c:pt>
                <c:pt idx="144">
                  <c:v>0</c:v>
                </c:pt>
                <c:pt idx="145">
                  <c:v>0</c:v>
                </c:pt>
                <c:pt idx="146">
                  <c:v>0</c:v>
                </c:pt>
                <c:pt idx="147">
                  <c:v>0</c:v>
                </c:pt>
                <c:pt idx="148">
                  <c:v>0</c:v>
                </c:pt>
                <c:pt idx="149">
                  <c:v>0</c:v>
                </c:pt>
                <c:pt idx="150">
                  <c:v>0</c:v>
                </c:pt>
                <c:pt idx="151">
                  <c:v>0</c:v>
                </c:pt>
                <c:pt idx="152">
                  <c:v>0</c:v>
                </c:pt>
                <c:pt idx="153">
                  <c:v>0</c:v>
                </c:pt>
                <c:pt idx="154">
                  <c:v>0</c:v>
                </c:pt>
                <c:pt idx="155">
                  <c:v>0</c:v>
                </c:pt>
                <c:pt idx="156">
                  <c:v>0</c:v>
                </c:pt>
                <c:pt idx="157">
                  <c:v>0</c:v>
                </c:pt>
                <c:pt idx="158">
                  <c:v>0</c:v>
                </c:pt>
                <c:pt idx="159">
                  <c:v>0</c:v>
                </c:pt>
                <c:pt idx="160">
                  <c:v>0</c:v>
                </c:pt>
                <c:pt idx="161">
                  <c:v>0</c:v>
                </c:pt>
                <c:pt idx="162">
                  <c:v>0</c:v>
                </c:pt>
                <c:pt idx="163">
                  <c:v>0</c:v>
                </c:pt>
                <c:pt idx="164">
                  <c:v>0</c:v>
                </c:pt>
                <c:pt idx="165">
                  <c:v>0</c:v>
                </c:pt>
                <c:pt idx="166">
                  <c:v>0</c:v>
                </c:pt>
                <c:pt idx="167">
                  <c:v>0</c:v>
                </c:pt>
                <c:pt idx="168">
                  <c:v>0</c:v>
                </c:pt>
                <c:pt idx="169">
                  <c:v>0</c:v>
                </c:pt>
                <c:pt idx="170">
                  <c:v>0</c:v>
                </c:pt>
                <c:pt idx="171">
                  <c:v>0</c:v>
                </c:pt>
                <c:pt idx="172">
                  <c:v>0</c:v>
                </c:pt>
                <c:pt idx="173">
                  <c:v>0</c:v>
                </c:pt>
                <c:pt idx="174">
                  <c:v>0</c:v>
                </c:pt>
                <c:pt idx="175">
                  <c:v>0</c:v>
                </c:pt>
                <c:pt idx="176">
                  <c:v>1</c:v>
                </c:pt>
                <c:pt idx="177">
                  <c:v>1</c:v>
                </c:pt>
                <c:pt idx="178">
                  <c:v>1</c:v>
                </c:pt>
                <c:pt idx="179">
                  <c:v>1</c:v>
                </c:pt>
                <c:pt idx="180">
                  <c:v>1</c:v>
                </c:pt>
                <c:pt idx="181">
                  <c:v>1</c:v>
                </c:pt>
                <c:pt idx="182">
                  <c:v>1</c:v>
                </c:pt>
                <c:pt idx="183">
                  <c:v>1</c:v>
                </c:pt>
                <c:pt idx="184">
                  <c:v>0</c:v>
                </c:pt>
                <c:pt idx="185">
                  <c:v>0</c:v>
                </c:pt>
                <c:pt idx="186">
                  <c:v>0</c:v>
                </c:pt>
                <c:pt idx="187">
                  <c:v>0</c:v>
                </c:pt>
                <c:pt idx="188">
                  <c:v>0</c:v>
                </c:pt>
                <c:pt idx="189">
                  <c:v>0</c:v>
                </c:pt>
                <c:pt idx="190">
                  <c:v>0</c:v>
                </c:pt>
                <c:pt idx="191">
                  <c:v>0</c:v>
                </c:pt>
                <c:pt idx="192">
                  <c:v>1</c:v>
                </c:pt>
                <c:pt idx="193">
                  <c:v>1</c:v>
                </c:pt>
                <c:pt idx="194">
                  <c:v>1</c:v>
                </c:pt>
                <c:pt idx="195">
                  <c:v>1</c:v>
                </c:pt>
                <c:pt idx="196">
                  <c:v>0</c:v>
                </c:pt>
                <c:pt idx="197">
                  <c:v>0</c:v>
                </c:pt>
                <c:pt idx="198">
                  <c:v>0</c:v>
                </c:pt>
                <c:pt idx="199">
                  <c:v>0</c:v>
                </c:pt>
                <c:pt idx="200">
                  <c:v>0</c:v>
                </c:pt>
                <c:pt idx="201">
                  <c:v>0</c:v>
                </c:pt>
                <c:pt idx="202">
                  <c:v>0</c:v>
                </c:pt>
                <c:pt idx="203">
                  <c:v>0</c:v>
                </c:pt>
                <c:pt idx="204">
                  <c:v>0</c:v>
                </c:pt>
                <c:pt idx="205">
                  <c:v>0</c:v>
                </c:pt>
                <c:pt idx="206">
                  <c:v>0</c:v>
                </c:pt>
                <c:pt idx="207">
                  <c:v>0</c:v>
                </c:pt>
                <c:pt idx="208">
                  <c:v>0</c:v>
                </c:pt>
                <c:pt idx="209">
                  <c:v>0</c:v>
                </c:pt>
                <c:pt idx="210">
                  <c:v>0</c:v>
                </c:pt>
                <c:pt idx="211">
                  <c:v>0</c:v>
                </c:pt>
                <c:pt idx="212">
                  <c:v>1</c:v>
                </c:pt>
                <c:pt idx="213">
                  <c:v>1</c:v>
                </c:pt>
                <c:pt idx="214">
                  <c:v>1</c:v>
                </c:pt>
                <c:pt idx="215">
                  <c:v>1</c:v>
                </c:pt>
                <c:pt idx="216">
                  <c:v>0</c:v>
                </c:pt>
                <c:pt idx="217">
                  <c:v>0</c:v>
                </c:pt>
                <c:pt idx="218">
                  <c:v>0</c:v>
                </c:pt>
                <c:pt idx="219">
                  <c:v>0</c:v>
                </c:pt>
                <c:pt idx="220">
                  <c:v>0</c:v>
                </c:pt>
                <c:pt idx="221">
                  <c:v>0</c:v>
                </c:pt>
                <c:pt idx="222">
                  <c:v>0</c:v>
                </c:pt>
                <c:pt idx="223">
                  <c:v>0</c:v>
                </c:pt>
                <c:pt idx="224">
                  <c:v>0</c:v>
                </c:pt>
                <c:pt idx="225">
                  <c:v>0</c:v>
                </c:pt>
                <c:pt idx="226">
                  <c:v>0</c:v>
                </c:pt>
                <c:pt idx="227">
                  <c:v>0</c:v>
                </c:pt>
                <c:pt idx="228">
                  <c:v>0</c:v>
                </c:pt>
                <c:pt idx="229">
                  <c:v>0</c:v>
                </c:pt>
                <c:pt idx="230">
                  <c:v>0</c:v>
                </c:pt>
                <c:pt idx="231">
                  <c:v>0</c:v>
                </c:pt>
                <c:pt idx="232">
                  <c:v>1</c:v>
                </c:pt>
                <c:pt idx="233">
                  <c:v>1</c:v>
                </c:pt>
                <c:pt idx="234">
                  <c:v>1</c:v>
                </c:pt>
                <c:pt idx="235">
                  <c:v>1</c:v>
                </c:pt>
                <c:pt idx="236">
                  <c:v>1</c:v>
                </c:pt>
                <c:pt idx="237">
                  <c:v>1</c:v>
                </c:pt>
                <c:pt idx="238">
                  <c:v>1</c:v>
                </c:pt>
                <c:pt idx="239">
                  <c:v>1</c:v>
                </c:pt>
                <c:pt idx="240">
                  <c:v>0</c:v>
                </c:pt>
                <c:pt idx="241">
                  <c:v>0</c:v>
                </c:pt>
                <c:pt idx="242">
                  <c:v>0</c:v>
                </c:pt>
                <c:pt idx="243">
                  <c:v>0</c:v>
                </c:pt>
                <c:pt idx="244">
                  <c:v>0</c:v>
                </c:pt>
                <c:pt idx="245">
                  <c:v>0</c:v>
                </c:pt>
                <c:pt idx="246">
                  <c:v>0</c:v>
                </c:pt>
                <c:pt idx="247">
                  <c:v>0</c:v>
                </c:pt>
                <c:pt idx="248">
                  <c:v>0</c:v>
                </c:pt>
                <c:pt idx="249">
                  <c:v>0</c:v>
                </c:pt>
                <c:pt idx="250">
                  <c:v>0</c:v>
                </c:pt>
                <c:pt idx="251">
                  <c:v>0</c:v>
                </c:pt>
                <c:pt idx="252">
                  <c:v>0</c:v>
                </c:pt>
                <c:pt idx="253">
                  <c:v>0</c:v>
                </c:pt>
                <c:pt idx="254">
                  <c:v>0</c:v>
                </c:pt>
                <c:pt idx="255">
                  <c:v>0</c:v>
                </c:pt>
                <c:pt idx="256">
                  <c:v>0</c:v>
                </c:pt>
                <c:pt idx="257">
                  <c:v>0</c:v>
                </c:pt>
                <c:pt idx="258">
                  <c:v>0</c:v>
                </c:pt>
                <c:pt idx="259">
                  <c:v>0</c:v>
                </c:pt>
                <c:pt idx="260">
                  <c:v>1</c:v>
                </c:pt>
                <c:pt idx="261">
                  <c:v>1</c:v>
                </c:pt>
                <c:pt idx="262">
                  <c:v>1</c:v>
                </c:pt>
                <c:pt idx="263">
                  <c:v>1</c:v>
                </c:pt>
                <c:pt idx="264">
                  <c:v>0</c:v>
                </c:pt>
                <c:pt idx="265">
                  <c:v>0</c:v>
                </c:pt>
                <c:pt idx="266">
                  <c:v>0</c:v>
                </c:pt>
                <c:pt idx="267">
                  <c:v>0</c:v>
                </c:pt>
                <c:pt idx="268">
                  <c:v>0</c:v>
                </c:pt>
                <c:pt idx="269">
                  <c:v>0</c:v>
                </c:pt>
                <c:pt idx="270">
                  <c:v>0</c:v>
                </c:pt>
                <c:pt idx="271">
                  <c:v>0</c:v>
                </c:pt>
                <c:pt idx="272">
                  <c:v>1</c:v>
                </c:pt>
                <c:pt idx="273">
                  <c:v>1</c:v>
                </c:pt>
                <c:pt idx="274">
                  <c:v>1</c:v>
                </c:pt>
                <c:pt idx="275">
                  <c:v>1</c:v>
                </c:pt>
                <c:pt idx="276">
                  <c:v>0</c:v>
                </c:pt>
                <c:pt idx="277">
                  <c:v>0</c:v>
                </c:pt>
                <c:pt idx="278">
                  <c:v>0</c:v>
                </c:pt>
                <c:pt idx="279">
                  <c:v>0</c:v>
                </c:pt>
                <c:pt idx="280">
                  <c:v>0</c:v>
                </c:pt>
                <c:pt idx="281">
                  <c:v>0</c:v>
                </c:pt>
                <c:pt idx="282">
                  <c:v>0</c:v>
                </c:pt>
                <c:pt idx="283">
                  <c:v>0</c:v>
                </c:pt>
                <c:pt idx="284">
                  <c:v>1</c:v>
                </c:pt>
                <c:pt idx="285">
                  <c:v>1</c:v>
                </c:pt>
                <c:pt idx="286">
                  <c:v>1</c:v>
                </c:pt>
                <c:pt idx="287">
                  <c:v>1</c:v>
                </c:pt>
                <c:pt idx="288">
                  <c:v>0</c:v>
                </c:pt>
                <c:pt idx="289">
                  <c:v>0</c:v>
                </c:pt>
                <c:pt idx="290">
                  <c:v>0</c:v>
                </c:pt>
                <c:pt idx="291">
                  <c:v>0</c:v>
                </c:pt>
                <c:pt idx="292">
                  <c:v>1</c:v>
                </c:pt>
                <c:pt idx="293">
                  <c:v>1</c:v>
                </c:pt>
                <c:pt idx="294">
                  <c:v>1</c:v>
                </c:pt>
                <c:pt idx="295">
                  <c:v>1</c:v>
                </c:pt>
                <c:pt idx="296">
                  <c:v>1</c:v>
                </c:pt>
                <c:pt idx="297">
                  <c:v>1</c:v>
                </c:pt>
                <c:pt idx="298">
                  <c:v>1</c:v>
                </c:pt>
                <c:pt idx="299">
                  <c:v>1</c:v>
                </c:pt>
                <c:pt idx="300">
                  <c:v>0</c:v>
                </c:pt>
                <c:pt idx="301">
                  <c:v>0</c:v>
                </c:pt>
                <c:pt idx="302">
                  <c:v>0</c:v>
                </c:pt>
                <c:pt idx="303">
                  <c:v>0</c:v>
                </c:pt>
                <c:pt idx="304">
                  <c:v>0</c:v>
                </c:pt>
                <c:pt idx="305">
                  <c:v>0</c:v>
                </c:pt>
                <c:pt idx="306">
                  <c:v>0</c:v>
                </c:pt>
                <c:pt idx="307">
                  <c:v>0</c:v>
                </c:pt>
                <c:pt idx="308">
                  <c:v>0</c:v>
                </c:pt>
                <c:pt idx="309">
                  <c:v>0</c:v>
                </c:pt>
                <c:pt idx="310">
                  <c:v>0</c:v>
                </c:pt>
                <c:pt idx="311">
                  <c:v>0</c:v>
                </c:pt>
                <c:pt idx="312">
                  <c:v>0</c:v>
                </c:pt>
                <c:pt idx="313">
                  <c:v>0</c:v>
                </c:pt>
                <c:pt idx="314">
                  <c:v>0</c:v>
                </c:pt>
                <c:pt idx="315">
                  <c:v>0</c:v>
                </c:pt>
                <c:pt idx="316">
                  <c:v>0</c:v>
                </c:pt>
                <c:pt idx="317">
                  <c:v>0</c:v>
                </c:pt>
                <c:pt idx="318">
                  <c:v>0</c:v>
                </c:pt>
                <c:pt idx="319">
                  <c:v>0</c:v>
                </c:pt>
              </c:numCache>
            </c:numRef>
          </c:xVal>
          <c:yVal>
            <c:numRef>
              <c:f>'Multiple Regression'!$C$28:$C$347</c:f>
              <c:numCache>
                <c:formatCode>General</c:formatCode>
                <c:ptCount val="320"/>
                <c:pt idx="0">
                  <c:v>-100420.62684002204</c:v>
                </c:pt>
                <c:pt idx="1">
                  <c:v>-89652.887418913539</c:v>
                </c:pt>
                <c:pt idx="2">
                  <c:v>-87785.883133220486</c:v>
                </c:pt>
                <c:pt idx="3">
                  <c:v>-113977.41900166171</c:v>
                </c:pt>
                <c:pt idx="4">
                  <c:v>-17895.154641028377</c:v>
                </c:pt>
                <c:pt idx="5">
                  <c:v>-34884.97007738275</c:v>
                </c:pt>
                <c:pt idx="6">
                  <c:v>4279.6720102805411</c:v>
                </c:pt>
                <c:pt idx="7">
                  <c:v>92092.816952184774</c:v>
                </c:pt>
                <c:pt idx="8">
                  <c:v>95147.280791831086</c:v>
                </c:pt>
                <c:pt idx="9">
                  <c:v>-747.01342221722007</c:v>
                </c:pt>
                <c:pt idx="10">
                  <c:v>-9179.3333604729269</c:v>
                </c:pt>
                <c:pt idx="11">
                  <c:v>52459.205559065216</c:v>
                </c:pt>
                <c:pt idx="12">
                  <c:v>17696.363287678687</c:v>
                </c:pt>
                <c:pt idx="13">
                  <c:v>-65551.453624979476</c:v>
                </c:pt>
                <c:pt idx="14">
                  <c:v>-4262.5472104754299</c:v>
                </c:pt>
                <c:pt idx="15">
                  <c:v>-22561.315595235559</c:v>
                </c:pt>
                <c:pt idx="16">
                  <c:v>-30034.999787871726</c:v>
                </c:pt>
                <c:pt idx="17">
                  <c:v>-30888.896363610402</c:v>
                </c:pt>
                <c:pt idx="18">
                  <c:v>-13229.856280150358</c:v>
                </c:pt>
                <c:pt idx="19">
                  <c:v>-9068.6514413498808</c:v>
                </c:pt>
                <c:pt idx="20">
                  <c:v>-97318.287440096785</c:v>
                </c:pt>
                <c:pt idx="21">
                  <c:v>-6074.5612942008884</c:v>
                </c:pt>
                <c:pt idx="22">
                  <c:v>4859.6868681036867</c:v>
                </c:pt>
                <c:pt idx="23">
                  <c:v>22391.867634382681</c:v>
                </c:pt>
                <c:pt idx="24">
                  <c:v>-794.35043710807804</c:v>
                </c:pt>
                <c:pt idx="25">
                  <c:v>-97599.295824801433</c:v>
                </c:pt>
                <c:pt idx="26">
                  <c:v>8427.1855978944805</c:v>
                </c:pt>
                <c:pt idx="27">
                  <c:v>-4641.4888685437618</c:v>
                </c:pt>
                <c:pt idx="28">
                  <c:v>-93313.799461466202</c:v>
                </c:pt>
                <c:pt idx="29">
                  <c:v>179.74964938976336</c:v>
                </c:pt>
                <c:pt idx="30">
                  <c:v>-26123.300982835004</c:v>
                </c:pt>
                <c:pt idx="31">
                  <c:v>-73462.144224243064</c:v>
                </c:pt>
                <c:pt idx="32">
                  <c:v>-124322.23204522603</c:v>
                </c:pt>
                <c:pt idx="33">
                  <c:v>-75029.317425237619</c:v>
                </c:pt>
                <c:pt idx="34">
                  <c:v>-3644.0343461587327</c:v>
                </c:pt>
                <c:pt idx="35">
                  <c:v>8052.1281186901033</c:v>
                </c:pt>
                <c:pt idx="36">
                  <c:v>42225.781117661973</c:v>
                </c:pt>
                <c:pt idx="37">
                  <c:v>-15524.762027428718</c:v>
                </c:pt>
                <c:pt idx="38">
                  <c:v>-10121.594455058337</c:v>
                </c:pt>
                <c:pt idx="39">
                  <c:v>35795.346234190743</c:v>
                </c:pt>
                <c:pt idx="40">
                  <c:v>38380.134007601766</c:v>
                </c:pt>
                <c:pt idx="41">
                  <c:v>-19719.450929026818</c:v>
                </c:pt>
                <c:pt idx="42">
                  <c:v>74298.945500782807</c:v>
                </c:pt>
                <c:pt idx="43">
                  <c:v>6564.3751155552454</c:v>
                </c:pt>
                <c:pt idx="44">
                  <c:v>-144549.59982507746</c:v>
                </c:pt>
                <c:pt idx="45">
                  <c:v>-16349.862719950033</c:v>
                </c:pt>
                <c:pt idx="46">
                  <c:v>25516.588189551025</c:v>
                </c:pt>
                <c:pt idx="47">
                  <c:v>-217.26740525965579</c:v>
                </c:pt>
                <c:pt idx="48">
                  <c:v>3866.6653514152858</c:v>
                </c:pt>
                <c:pt idx="49">
                  <c:v>-24777.193410099484</c:v>
                </c:pt>
                <c:pt idx="50">
                  <c:v>-5653.5018245971296</c:v>
                </c:pt>
                <c:pt idx="51">
                  <c:v>58403.002128602006</c:v>
                </c:pt>
                <c:pt idx="52">
                  <c:v>-113810.94625542732</c:v>
                </c:pt>
                <c:pt idx="53">
                  <c:v>43988.843817234156</c:v>
                </c:pt>
                <c:pt idx="54">
                  <c:v>38048.77017331461</c:v>
                </c:pt>
                <c:pt idx="55">
                  <c:v>-47862.719327041821</c:v>
                </c:pt>
                <c:pt idx="56">
                  <c:v>11957.694344255025</c:v>
                </c:pt>
                <c:pt idx="57">
                  <c:v>-52486.556184690562</c:v>
                </c:pt>
                <c:pt idx="58">
                  <c:v>-45087.89719693712</c:v>
                </c:pt>
                <c:pt idx="59">
                  <c:v>-49491.180917392252</c:v>
                </c:pt>
                <c:pt idx="60">
                  <c:v>87497.284771312843</c:v>
                </c:pt>
                <c:pt idx="61">
                  <c:v>44018.184945800807</c:v>
                </c:pt>
                <c:pt idx="62">
                  <c:v>-8552.3288417842705</c:v>
                </c:pt>
                <c:pt idx="63">
                  <c:v>54932.249868366285</c:v>
                </c:pt>
                <c:pt idx="64">
                  <c:v>-8336.2901795608923</c:v>
                </c:pt>
                <c:pt idx="65">
                  <c:v>-8414.9099775097566</c:v>
                </c:pt>
                <c:pt idx="66">
                  <c:v>-133693.52211727703</c:v>
                </c:pt>
                <c:pt idx="67">
                  <c:v>9746.4698780517792</c:v>
                </c:pt>
                <c:pt idx="68">
                  <c:v>68807.360417435411</c:v>
                </c:pt>
                <c:pt idx="69">
                  <c:v>-45280.2831562598</c:v>
                </c:pt>
                <c:pt idx="70">
                  <c:v>42147.909705571597</c:v>
                </c:pt>
                <c:pt idx="71">
                  <c:v>26955.360515957815</c:v>
                </c:pt>
                <c:pt idx="72">
                  <c:v>-14838.505855177413</c:v>
                </c:pt>
                <c:pt idx="73">
                  <c:v>-57674.953360357904</c:v>
                </c:pt>
                <c:pt idx="74">
                  <c:v>91369.553499722038</c:v>
                </c:pt>
                <c:pt idx="75">
                  <c:v>-49235.683655404369</c:v>
                </c:pt>
                <c:pt idx="76">
                  <c:v>-40151.451702238992</c:v>
                </c:pt>
                <c:pt idx="77">
                  <c:v>30000.159458805807</c:v>
                </c:pt>
                <c:pt idx="78">
                  <c:v>45534.429171196185</c:v>
                </c:pt>
                <c:pt idx="79">
                  <c:v>-34613.129517767578</c:v>
                </c:pt>
                <c:pt idx="80">
                  <c:v>-28302.230039484566</c:v>
                </c:pt>
                <c:pt idx="81">
                  <c:v>57573.135636606719</c:v>
                </c:pt>
                <c:pt idx="82">
                  <c:v>81387.092101865914</c:v>
                </c:pt>
                <c:pt idx="83">
                  <c:v>-3875.4113843631931</c:v>
                </c:pt>
                <c:pt idx="84">
                  <c:v>2561.995789917768</c:v>
                </c:pt>
                <c:pt idx="85">
                  <c:v>-19676.381259778864</c:v>
                </c:pt>
                <c:pt idx="86">
                  <c:v>-10998.499357024324</c:v>
                </c:pt>
                <c:pt idx="87">
                  <c:v>-15030.3257497882</c:v>
                </c:pt>
                <c:pt idx="88">
                  <c:v>16309.558481779066</c:v>
                </c:pt>
                <c:pt idx="89">
                  <c:v>-118183.91577245318</c:v>
                </c:pt>
                <c:pt idx="90">
                  <c:v>44750.795408065547</c:v>
                </c:pt>
                <c:pt idx="91">
                  <c:v>26145.931442624191</c:v>
                </c:pt>
                <c:pt idx="92">
                  <c:v>-7234.879779844312</c:v>
                </c:pt>
                <c:pt idx="93">
                  <c:v>44675.249277184019</c:v>
                </c:pt>
                <c:pt idx="94">
                  <c:v>64210.709993797704</c:v>
                </c:pt>
                <c:pt idx="95">
                  <c:v>-14378.964138212148</c:v>
                </c:pt>
                <c:pt idx="96">
                  <c:v>6711.4812516295351</c:v>
                </c:pt>
                <c:pt idx="97">
                  <c:v>73427.061644917238</c:v>
                </c:pt>
                <c:pt idx="98">
                  <c:v>-4506.1932534069056</c:v>
                </c:pt>
                <c:pt idx="99">
                  <c:v>37296.379545412841</c:v>
                </c:pt>
                <c:pt idx="100">
                  <c:v>61589.492777783307</c:v>
                </c:pt>
                <c:pt idx="101">
                  <c:v>-20858.723325389903</c:v>
                </c:pt>
                <c:pt idx="102">
                  <c:v>20449.065187108237</c:v>
                </c:pt>
                <c:pt idx="103">
                  <c:v>110622.55521620996</c:v>
                </c:pt>
                <c:pt idx="104">
                  <c:v>8272.9319939650595</c:v>
                </c:pt>
                <c:pt idx="105">
                  <c:v>-4200.6450870366534</c:v>
                </c:pt>
                <c:pt idx="106">
                  <c:v>84425.960055753472</c:v>
                </c:pt>
                <c:pt idx="107">
                  <c:v>-18428.198063588003</c:v>
                </c:pt>
                <c:pt idx="108">
                  <c:v>-596.58455591415986</c:v>
                </c:pt>
                <c:pt idx="109">
                  <c:v>22444.779510559631</c:v>
                </c:pt>
                <c:pt idx="110">
                  <c:v>-11798.607170544565</c:v>
                </c:pt>
                <c:pt idx="111">
                  <c:v>118024.08845192799</c:v>
                </c:pt>
                <c:pt idx="112">
                  <c:v>8218.3655582031934</c:v>
                </c:pt>
                <c:pt idx="113">
                  <c:v>61570.893393078935</c:v>
                </c:pt>
                <c:pt idx="114">
                  <c:v>-51176.695722335484</c:v>
                </c:pt>
                <c:pt idx="115">
                  <c:v>-24304.396525362041</c:v>
                </c:pt>
                <c:pt idx="116">
                  <c:v>4881.5419769196305</c:v>
                </c:pt>
                <c:pt idx="117">
                  <c:v>70872.963595701847</c:v>
                </c:pt>
                <c:pt idx="118">
                  <c:v>-52640.460269912845</c:v>
                </c:pt>
                <c:pt idx="119">
                  <c:v>16470.52751990268</c:v>
                </c:pt>
                <c:pt idx="120">
                  <c:v>-66227.278298011573</c:v>
                </c:pt>
                <c:pt idx="121">
                  <c:v>31614.887451365008</c:v>
                </c:pt>
                <c:pt idx="122">
                  <c:v>-44158.473568045767</c:v>
                </c:pt>
                <c:pt idx="123">
                  <c:v>-29501.405436247936</c:v>
                </c:pt>
                <c:pt idx="124">
                  <c:v>102244.73807574366</c:v>
                </c:pt>
                <c:pt idx="125">
                  <c:v>31114.454439741792</c:v>
                </c:pt>
                <c:pt idx="126">
                  <c:v>70336.520148017211</c:v>
                </c:pt>
                <c:pt idx="127">
                  <c:v>-17556.995358125656</c:v>
                </c:pt>
                <c:pt idx="128">
                  <c:v>25592.959082807763</c:v>
                </c:pt>
                <c:pt idx="129">
                  <c:v>-17557.730398292071</c:v>
                </c:pt>
                <c:pt idx="130">
                  <c:v>-46832.44180727168</c:v>
                </c:pt>
                <c:pt idx="131">
                  <c:v>-24216.966919748345</c:v>
                </c:pt>
                <c:pt idx="132">
                  <c:v>-52030.750280288747</c:v>
                </c:pt>
                <c:pt idx="133">
                  <c:v>-72050.414505830442</c:v>
                </c:pt>
                <c:pt idx="134">
                  <c:v>15702.340170343174</c:v>
                </c:pt>
                <c:pt idx="135">
                  <c:v>-4986.1347896574298</c:v>
                </c:pt>
                <c:pt idx="136">
                  <c:v>-112247.72903956869</c:v>
                </c:pt>
                <c:pt idx="137">
                  <c:v>51078.728030106402</c:v>
                </c:pt>
                <c:pt idx="138">
                  <c:v>69017.015106998384</c:v>
                </c:pt>
                <c:pt idx="139">
                  <c:v>25149.398806963698</c:v>
                </c:pt>
                <c:pt idx="140">
                  <c:v>47704.973410718259</c:v>
                </c:pt>
                <c:pt idx="141">
                  <c:v>26767.927093807724</c:v>
                </c:pt>
                <c:pt idx="142">
                  <c:v>34502.026257431135</c:v>
                </c:pt>
                <c:pt idx="143">
                  <c:v>35054.405212786398</c:v>
                </c:pt>
                <c:pt idx="144">
                  <c:v>-36462.659379157354</c:v>
                </c:pt>
                <c:pt idx="145">
                  <c:v>-25582.46000531665</c:v>
                </c:pt>
                <c:pt idx="146">
                  <c:v>7495.2333483960247</c:v>
                </c:pt>
                <c:pt idx="147">
                  <c:v>-4778.9537662650691</c:v>
                </c:pt>
                <c:pt idx="148">
                  <c:v>-23595.820151095162</c:v>
                </c:pt>
                <c:pt idx="149">
                  <c:v>43357.226346171228</c:v>
                </c:pt>
                <c:pt idx="150">
                  <c:v>61498.041608201806</c:v>
                </c:pt>
                <c:pt idx="151">
                  <c:v>58907.413825458381</c:v>
                </c:pt>
                <c:pt idx="152">
                  <c:v>-9251.4639504638035</c:v>
                </c:pt>
                <c:pt idx="153">
                  <c:v>9756.5804077145876</c:v>
                </c:pt>
                <c:pt idx="154">
                  <c:v>-32318.817933423561</c:v>
                </c:pt>
                <c:pt idx="155">
                  <c:v>7848.3216818774818</c:v>
                </c:pt>
                <c:pt idx="156">
                  <c:v>-13575.113015280222</c:v>
                </c:pt>
                <c:pt idx="157">
                  <c:v>-21019.201434904826</c:v>
                </c:pt>
                <c:pt idx="158">
                  <c:v>33757.877881731489</c:v>
                </c:pt>
                <c:pt idx="159">
                  <c:v>75231.325101392576</c:v>
                </c:pt>
                <c:pt idx="160">
                  <c:v>-35637.521894251695</c:v>
                </c:pt>
                <c:pt idx="161">
                  <c:v>87276.962690469343</c:v>
                </c:pt>
                <c:pt idx="162">
                  <c:v>-44854.762046281598</c:v>
                </c:pt>
                <c:pt idx="163">
                  <c:v>15100.517932407209</c:v>
                </c:pt>
                <c:pt idx="164">
                  <c:v>40455.736030117609</c:v>
                </c:pt>
                <c:pt idx="165">
                  <c:v>-22227.856196966721</c:v>
                </c:pt>
                <c:pt idx="166">
                  <c:v>1883.1822863548296</c:v>
                </c:pt>
                <c:pt idx="167">
                  <c:v>21568.893398693646</c:v>
                </c:pt>
                <c:pt idx="168">
                  <c:v>-37602.417123343446</c:v>
                </c:pt>
                <c:pt idx="169">
                  <c:v>-93479.137994827353</c:v>
                </c:pt>
                <c:pt idx="170">
                  <c:v>21172.985029219068</c:v>
                </c:pt>
                <c:pt idx="171">
                  <c:v>-13181.655866858782</c:v>
                </c:pt>
                <c:pt idx="172">
                  <c:v>22400.435171063291</c:v>
                </c:pt>
                <c:pt idx="173">
                  <c:v>-41072.761585849803</c:v>
                </c:pt>
                <c:pt idx="174">
                  <c:v>-42245.076625697548</c:v>
                </c:pt>
                <c:pt idx="175">
                  <c:v>-6758.0980688635027</c:v>
                </c:pt>
                <c:pt idx="176">
                  <c:v>-14744.362538438174</c:v>
                </c:pt>
                <c:pt idx="177">
                  <c:v>85141.562745622708</c:v>
                </c:pt>
                <c:pt idx="178">
                  <c:v>27073.029137542238</c:v>
                </c:pt>
                <c:pt idx="179">
                  <c:v>63702.726232068148</c:v>
                </c:pt>
                <c:pt idx="180">
                  <c:v>-11547.526648097089</c:v>
                </c:pt>
                <c:pt idx="181">
                  <c:v>-13946.250712551409</c:v>
                </c:pt>
                <c:pt idx="182">
                  <c:v>-44614.103978902218</c:v>
                </c:pt>
                <c:pt idx="183">
                  <c:v>-15262.763380505843</c:v>
                </c:pt>
                <c:pt idx="184">
                  <c:v>-2060.2338846030179</c:v>
                </c:pt>
                <c:pt idx="185">
                  <c:v>47032.076293993043</c:v>
                </c:pt>
                <c:pt idx="186">
                  <c:v>94247.49163861631</c:v>
                </c:pt>
                <c:pt idx="187">
                  <c:v>-32408.002826419775</c:v>
                </c:pt>
                <c:pt idx="188">
                  <c:v>22572.674996765913</c:v>
                </c:pt>
                <c:pt idx="189">
                  <c:v>10788.864672538242</c:v>
                </c:pt>
                <c:pt idx="190">
                  <c:v>-23485.799719653907</c:v>
                </c:pt>
                <c:pt idx="191">
                  <c:v>-44745.957731283386</c:v>
                </c:pt>
                <c:pt idx="192">
                  <c:v>-57108.648873547674</c:v>
                </c:pt>
                <c:pt idx="193">
                  <c:v>-20500.407725128811</c:v>
                </c:pt>
                <c:pt idx="194">
                  <c:v>-20107.203182502883</c:v>
                </c:pt>
                <c:pt idx="195">
                  <c:v>-97550.900879935769</c:v>
                </c:pt>
                <c:pt idx="196">
                  <c:v>47327.971045484301</c:v>
                </c:pt>
                <c:pt idx="197">
                  <c:v>-35763.481345176115</c:v>
                </c:pt>
                <c:pt idx="198">
                  <c:v>-30345.090562100057</c:v>
                </c:pt>
                <c:pt idx="199">
                  <c:v>91318.062491319026</c:v>
                </c:pt>
                <c:pt idx="200">
                  <c:v>-19708.400209581712</c:v>
                </c:pt>
                <c:pt idx="201">
                  <c:v>93450.981729638996</c:v>
                </c:pt>
                <c:pt idx="202">
                  <c:v>-65835.470778974355</c:v>
                </c:pt>
                <c:pt idx="203">
                  <c:v>-17017.987621743814</c:v>
                </c:pt>
                <c:pt idx="204">
                  <c:v>4195.4842225813773</c:v>
                </c:pt>
                <c:pt idx="205">
                  <c:v>74601.308650100487</c:v>
                </c:pt>
                <c:pt idx="206">
                  <c:v>-73971.962073270115</c:v>
                </c:pt>
                <c:pt idx="207">
                  <c:v>-60917.856760576484</c:v>
                </c:pt>
                <c:pt idx="208">
                  <c:v>2761.0240973115433</c:v>
                </c:pt>
                <c:pt idx="209">
                  <c:v>-86878.807167985477</c:v>
                </c:pt>
                <c:pt idx="210">
                  <c:v>-9646.0524120699847</c:v>
                </c:pt>
                <c:pt idx="211">
                  <c:v>-17572.370198919089</c:v>
                </c:pt>
                <c:pt idx="212">
                  <c:v>28607.959789365181</c:v>
                </c:pt>
                <c:pt idx="213">
                  <c:v>40092.945245480165</c:v>
                </c:pt>
                <c:pt idx="214">
                  <c:v>-26211.698213939555</c:v>
                </c:pt>
                <c:pt idx="215">
                  <c:v>4602.4661483311793</c:v>
                </c:pt>
                <c:pt idx="216">
                  <c:v>21456.206849293085</c:v>
                </c:pt>
                <c:pt idx="217">
                  <c:v>33476.115296774195</c:v>
                </c:pt>
                <c:pt idx="218">
                  <c:v>72577.241034327424</c:v>
                </c:pt>
                <c:pt idx="219">
                  <c:v>38080.233963117353</c:v>
                </c:pt>
                <c:pt idx="220">
                  <c:v>15473.864594966522</c:v>
                </c:pt>
                <c:pt idx="221">
                  <c:v>-3231.0537468598923</c:v>
                </c:pt>
                <c:pt idx="222">
                  <c:v>-1969.7670809662668</c:v>
                </c:pt>
                <c:pt idx="223">
                  <c:v>-55736.270895127207</c:v>
                </c:pt>
                <c:pt idx="224">
                  <c:v>19067.147731530364</c:v>
                </c:pt>
                <c:pt idx="225">
                  <c:v>-18270.753516446915</c:v>
                </c:pt>
                <c:pt idx="226">
                  <c:v>-40220.989072596654</c:v>
                </c:pt>
                <c:pt idx="227">
                  <c:v>42684.485596942774</c:v>
                </c:pt>
                <c:pt idx="228">
                  <c:v>-69398.655618409044</c:v>
                </c:pt>
                <c:pt idx="229">
                  <c:v>54424.580247317557</c:v>
                </c:pt>
                <c:pt idx="230">
                  <c:v>-49728.630330819637</c:v>
                </c:pt>
                <c:pt idx="231">
                  <c:v>30734.517612631316</c:v>
                </c:pt>
                <c:pt idx="232">
                  <c:v>52639.325475548976</c:v>
                </c:pt>
                <c:pt idx="233">
                  <c:v>71051.178042954765</c:v>
                </c:pt>
                <c:pt idx="234">
                  <c:v>-24858.489143541432</c:v>
                </c:pt>
                <c:pt idx="235">
                  <c:v>4884.9312689661747</c:v>
                </c:pt>
                <c:pt idx="236">
                  <c:v>-68338.816090602661</c:v>
                </c:pt>
                <c:pt idx="237">
                  <c:v>-13452.776181930793</c:v>
                </c:pt>
                <c:pt idx="238">
                  <c:v>-27792.87307217333</c:v>
                </c:pt>
                <c:pt idx="239">
                  <c:v>-3621.3628322615987</c:v>
                </c:pt>
                <c:pt idx="240">
                  <c:v>47752.429159113439</c:v>
                </c:pt>
                <c:pt idx="241">
                  <c:v>28837.988218099112</c:v>
                </c:pt>
                <c:pt idx="242">
                  <c:v>18697.130349543761</c:v>
                </c:pt>
                <c:pt idx="243">
                  <c:v>29349.246219854336</c:v>
                </c:pt>
                <c:pt idx="244">
                  <c:v>17800.435509618372</c:v>
                </c:pt>
                <c:pt idx="245">
                  <c:v>-1567.870157953701</c:v>
                </c:pt>
                <c:pt idx="246">
                  <c:v>-19208.739816944464</c:v>
                </c:pt>
                <c:pt idx="247">
                  <c:v>-1264.8752229106613</c:v>
                </c:pt>
                <c:pt idx="248">
                  <c:v>39205.290238046087</c:v>
                </c:pt>
                <c:pt idx="249">
                  <c:v>-35658.241440274986</c:v>
                </c:pt>
                <c:pt idx="250">
                  <c:v>12049.447367619839</c:v>
                </c:pt>
                <c:pt idx="251">
                  <c:v>-7574.6535088893725</c:v>
                </c:pt>
                <c:pt idx="252">
                  <c:v>44440.011905524065</c:v>
                </c:pt>
                <c:pt idx="253">
                  <c:v>98905.760182968224</c:v>
                </c:pt>
                <c:pt idx="254">
                  <c:v>45933.026480561472</c:v>
                </c:pt>
                <c:pt idx="255">
                  <c:v>-27377.195213678177</c:v>
                </c:pt>
                <c:pt idx="256">
                  <c:v>92070.70021103078</c:v>
                </c:pt>
                <c:pt idx="257">
                  <c:v>16904.243426369154</c:v>
                </c:pt>
                <c:pt idx="258">
                  <c:v>14467.488296378986</c:v>
                </c:pt>
                <c:pt idx="259">
                  <c:v>65790.93869975768</c:v>
                </c:pt>
                <c:pt idx="260">
                  <c:v>7337.3124809980509</c:v>
                </c:pt>
                <c:pt idx="261">
                  <c:v>-3747.9274962609634</c:v>
                </c:pt>
                <c:pt idx="262">
                  <c:v>47511.418596534175</c:v>
                </c:pt>
                <c:pt idx="263">
                  <c:v>39389.065845469362</c:v>
                </c:pt>
                <c:pt idx="264">
                  <c:v>139.94007491623051</c:v>
                </c:pt>
                <c:pt idx="265">
                  <c:v>25826.005803710665</c:v>
                </c:pt>
                <c:pt idx="266">
                  <c:v>24523.43772083777</c:v>
                </c:pt>
                <c:pt idx="267">
                  <c:v>40337.600188660203</c:v>
                </c:pt>
                <c:pt idx="268">
                  <c:v>-59947.526895461022</c:v>
                </c:pt>
                <c:pt idx="269">
                  <c:v>51111.620341348927</c:v>
                </c:pt>
                <c:pt idx="270">
                  <c:v>429.73259897658136</c:v>
                </c:pt>
                <c:pt idx="271">
                  <c:v>-84377.524289424182</c:v>
                </c:pt>
                <c:pt idx="272">
                  <c:v>-13471.097186358878</c:v>
                </c:pt>
                <c:pt idx="273">
                  <c:v>28849.685380332987</c:v>
                </c:pt>
                <c:pt idx="274">
                  <c:v>-14129.355007054401</c:v>
                </c:pt>
                <c:pt idx="275">
                  <c:v>52566.585893198266</c:v>
                </c:pt>
                <c:pt idx="276">
                  <c:v>-77388.773241001065</c:v>
                </c:pt>
                <c:pt idx="277">
                  <c:v>23851.775322349393</c:v>
                </c:pt>
                <c:pt idx="278">
                  <c:v>2983.0656973925652</c:v>
                </c:pt>
                <c:pt idx="279">
                  <c:v>-28463.419700780418</c:v>
                </c:pt>
                <c:pt idx="280">
                  <c:v>-60493.106587629649</c:v>
                </c:pt>
                <c:pt idx="281">
                  <c:v>-29900.422214305378</c:v>
                </c:pt>
                <c:pt idx="282">
                  <c:v>48009.709150260082</c:v>
                </c:pt>
                <c:pt idx="283">
                  <c:v>-18759.700523993641</c:v>
                </c:pt>
                <c:pt idx="284">
                  <c:v>-32259.333672619658</c:v>
                </c:pt>
                <c:pt idx="285">
                  <c:v>-4672.8957497277297</c:v>
                </c:pt>
                <c:pt idx="286">
                  <c:v>8787.2117596552707</c:v>
                </c:pt>
                <c:pt idx="287">
                  <c:v>-35142.503967028228</c:v>
                </c:pt>
                <c:pt idx="288">
                  <c:v>-15051.601509919623</c:v>
                </c:pt>
                <c:pt idx="289">
                  <c:v>-22825.745456776116</c:v>
                </c:pt>
                <c:pt idx="290">
                  <c:v>68774.858669982408</c:v>
                </c:pt>
                <c:pt idx="291">
                  <c:v>-1436.6848989963764</c:v>
                </c:pt>
                <c:pt idx="292">
                  <c:v>-47793.572075212956</c:v>
                </c:pt>
                <c:pt idx="293">
                  <c:v>4212.1285358224995</c:v>
                </c:pt>
                <c:pt idx="294">
                  <c:v>-6133.8746401900426</c:v>
                </c:pt>
                <c:pt idx="295">
                  <c:v>-799.71863514737925</c:v>
                </c:pt>
                <c:pt idx="296">
                  <c:v>-4181.0841077562654</c:v>
                </c:pt>
                <c:pt idx="297">
                  <c:v>96270.76779247995</c:v>
                </c:pt>
                <c:pt idx="298">
                  <c:v>-22496.303821725189</c:v>
                </c:pt>
                <c:pt idx="299">
                  <c:v>-79524.395955139771</c:v>
                </c:pt>
                <c:pt idx="300">
                  <c:v>-11161.587083385559</c:v>
                </c:pt>
                <c:pt idx="301">
                  <c:v>-14283.933424172457</c:v>
                </c:pt>
                <c:pt idx="302">
                  <c:v>1238.8354464733275</c:v>
                </c:pt>
                <c:pt idx="303">
                  <c:v>82810.744723305805</c:v>
                </c:pt>
                <c:pt idx="304">
                  <c:v>58099.140107549494</c:v>
                </c:pt>
                <c:pt idx="305">
                  <c:v>-109011.64818553219</c:v>
                </c:pt>
                <c:pt idx="306">
                  <c:v>37068.107775875484</c:v>
                </c:pt>
                <c:pt idx="307">
                  <c:v>-30252.584166878019</c:v>
                </c:pt>
                <c:pt idx="308">
                  <c:v>-10501.380426026997</c:v>
                </c:pt>
                <c:pt idx="309">
                  <c:v>-57283.974379246705</c:v>
                </c:pt>
                <c:pt idx="310">
                  <c:v>-9043.1605746934656</c:v>
                </c:pt>
                <c:pt idx="311">
                  <c:v>30567.014507002896</c:v>
                </c:pt>
                <c:pt idx="312">
                  <c:v>2942.4581866859226</c:v>
                </c:pt>
                <c:pt idx="313">
                  <c:v>-20484.278121933225</c:v>
                </c:pt>
                <c:pt idx="314">
                  <c:v>43694.416815164499</c:v>
                </c:pt>
                <c:pt idx="315">
                  <c:v>39890.897755862214</c:v>
                </c:pt>
                <c:pt idx="316">
                  <c:v>-44997.595803038217</c:v>
                </c:pt>
                <c:pt idx="317">
                  <c:v>-11137.38290306821</c:v>
                </c:pt>
                <c:pt idx="318">
                  <c:v>-12564.759253064869</c:v>
                </c:pt>
                <c:pt idx="319">
                  <c:v>-54568.032199176028</c:v>
                </c:pt>
              </c:numCache>
            </c:numRef>
          </c:yVal>
          <c:smooth val="0"/>
          <c:extLst>
            <c:ext xmlns:c16="http://schemas.microsoft.com/office/drawing/2014/chart" uri="{C3380CC4-5D6E-409C-BE32-E72D297353CC}">
              <c16:uniqueId val="{00000000-389E-4D77-8C35-227B4EC89120}"/>
            </c:ext>
          </c:extLst>
        </c:ser>
        <c:dLbls>
          <c:showLegendKey val="0"/>
          <c:showVal val="0"/>
          <c:showCatName val="0"/>
          <c:showSerName val="0"/>
          <c:showPercent val="0"/>
          <c:showBubbleSize val="0"/>
        </c:dLbls>
        <c:axId val="397440688"/>
        <c:axId val="528452048"/>
      </c:scatterChart>
      <c:valAx>
        <c:axId val="397440688"/>
        <c:scaling>
          <c:orientation val="minMax"/>
        </c:scaling>
        <c:delete val="0"/>
        <c:axPos val="b"/>
        <c:title>
          <c:tx>
            <c:rich>
              <a:bodyPr/>
              <a:lstStyle/>
              <a:p>
                <a:pPr>
                  <a:defRPr/>
                </a:pPr>
                <a:r>
                  <a:rPr lang="en-IN"/>
                  <a:t>West Dummy</a:t>
                </a:r>
              </a:p>
            </c:rich>
          </c:tx>
          <c:overlay val="0"/>
        </c:title>
        <c:numFmt formatCode="General" sourceLinked="1"/>
        <c:majorTickMark val="out"/>
        <c:minorTickMark val="none"/>
        <c:tickLblPos val="nextTo"/>
        <c:crossAx val="528452048"/>
        <c:crosses val="autoZero"/>
        <c:crossBetween val="midCat"/>
      </c:valAx>
      <c:valAx>
        <c:axId val="528452048"/>
        <c:scaling>
          <c:orientation val="minMax"/>
        </c:scaling>
        <c:delete val="0"/>
        <c:axPos val="l"/>
        <c:title>
          <c:tx>
            <c:rich>
              <a:bodyPr/>
              <a:lstStyle/>
              <a:p>
                <a:pPr>
                  <a:defRPr/>
                </a:pPr>
                <a:r>
                  <a:rPr lang="en-IN"/>
                  <a:t>Residuals</a:t>
                </a:r>
              </a:p>
            </c:rich>
          </c:tx>
          <c:overlay val="0"/>
        </c:title>
        <c:numFmt formatCode="General" sourceLinked="1"/>
        <c:majorTickMark val="out"/>
        <c:minorTickMark val="none"/>
        <c:tickLblPos val="nextTo"/>
        <c:crossAx val="397440688"/>
        <c:crosses val="autoZero"/>
        <c:crossBetween val="midCat"/>
      </c:valAx>
    </c:plotArea>
    <c:plotVisOnly val="1"/>
    <c:dispBlanksAs val="gap"/>
    <c:extLst>
      <c:ext xmlns:c16r3="http://schemas.microsoft.com/office/drawing/2017/03/chart" uri="{56B9EC1D-385E-4148-901F-78D8002777C0}">
        <c16r3:dataDisplayOptions16>
          <c16r3:dispNaAsBlank val="1"/>
        </c16r3:dataDisplayOptions16>
      </c:ext>
    </c:extLst>
    <c:showDLblsOverMax val="0"/>
  </c:chart>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a:pPr>
            <a:r>
              <a:rPr lang="en-IN"/>
              <a:t>marketing_spend  Residual Plot</a:t>
            </a:r>
          </a:p>
        </c:rich>
      </c:tx>
      <c:overlay val="0"/>
    </c:title>
    <c:autoTitleDeleted val="0"/>
    <c:plotArea>
      <c:layout/>
      <c:scatterChart>
        <c:scatterStyle val="lineMarker"/>
        <c:varyColors val="0"/>
        <c:ser>
          <c:idx val="0"/>
          <c:order val="0"/>
          <c:spPr>
            <a:ln w="38100">
              <a:noFill/>
            </a:ln>
          </c:spPr>
          <c:xVal>
            <c:numRef>
              <c:f>store_performance!$H$2:$H$321</c:f>
              <c:numCache>
                <c:formatCode>General</c:formatCode>
                <c:ptCount val="320"/>
                <c:pt idx="0">
                  <c:v>70389.11</c:v>
                </c:pt>
                <c:pt idx="1">
                  <c:v>43827.89</c:v>
                </c:pt>
                <c:pt idx="2">
                  <c:v>59921.75</c:v>
                </c:pt>
                <c:pt idx="3">
                  <c:v>56856.63</c:v>
                </c:pt>
                <c:pt idx="4">
                  <c:v>48412.639999999999</c:v>
                </c:pt>
                <c:pt idx="5">
                  <c:v>64811.21</c:v>
                </c:pt>
                <c:pt idx="6">
                  <c:v>46213.45</c:v>
                </c:pt>
                <c:pt idx="7">
                  <c:v>68148.52</c:v>
                </c:pt>
                <c:pt idx="8">
                  <c:v>71838.86</c:v>
                </c:pt>
                <c:pt idx="9">
                  <c:v>68133.440000000002</c:v>
                </c:pt>
                <c:pt idx="10">
                  <c:v>34285.21</c:v>
                </c:pt>
                <c:pt idx="11">
                  <c:v>67979.88</c:v>
                </c:pt>
                <c:pt idx="12">
                  <c:v>71828.259999999995</c:v>
                </c:pt>
                <c:pt idx="13">
                  <c:v>55716.82</c:v>
                </c:pt>
                <c:pt idx="14">
                  <c:v>59909.51</c:v>
                </c:pt>
                <c:pt idx="15">
                  <c:v>75305.710000000006</c:v>
                </c:pt>
                <c:pt idx="16">
                  <c:v>48804.22</c:v>
                </c:pt>
                <c:pt idx="17">
                  <c:v>59117.9</c:v>
                </c:pt>
                <c:pt idx="18">
                  <c:v>78831.12</c:v>
                </c:pt>
                <c:pt idx="19">
                  <c:v>41441.93</c:v>
                </c:pt>
                <c:pt idx="20">
                  <c:v>30356.28</c:v>
                </c:pt>
                <c:pt idx="21">
                  <c:v>33518.879999999997</c:v>
                </c:pt>
                <c:pt idx="22">
                  <c:v>42267.37</c:v>
                </c:pt>
                <c:pt idx="23">
                  <c:v>62060.43</c:v>
                </c:pt>
                <c:pt idx="24">
                  <c:v>57696.69</c:v>
                </c:pt>
                <c:pt idx="25">
                  <c:v>172415.52</c:v>
                </c:pt>
                <c:pt idx="26">
                  <c:v>55270.52</c:v>
                </c:pt>
                <c:pt idx="27">
                  <c:v>52715.1</c:v>
                </c:pt>
                <c:pt idx="28">
                  <c:v>68600.62</c:v>
                </c:pt>
                <c:pt idx="29">
                  <c:v>63176.73</c:v>
                </c:pt>
                <c:pt idx="30">
                  <c:v>44970.080000000002</c:v>
                </c:pt>
                <c:pt idx="31">
                  <c:v>69816.350000000006</c:v>
                </c:pt>
                <c:pt idx="32">
                  <c:v>54597.83</c:v>
                </c:pt>
                <c:pt idx="33">
                  <c:v>73771.91</c:v>
                </c:pt>
                <c:pt idx="34">
                  <c:v>74413.88</c:v>
                </c:pt>
                <c:pt idx="35">
                  <c:v>52483.77</c:v>
                </c:pt>
                <c:pt idx="36">
                  <c:v>75269.87</c:v>
                </c:pt>
                <c:pt idx="37">
                  <c:v>61245.41</c:v>
                </c:pt>
                <c:pt idx="38">
                  <c:v>93381.26</c:v>
                </c:pt>
                <c:pt idx="39">
                  <c:v>65012.19</c:v>
                </c:pt>
                <c:pt idx="40">
                  <c:v>40462.94</c:v>
                </c:pt>
                <c:pt idx="41">
                  <c:v>46123.88</c:v>
                </c:pt>
                <c:pt idx="42">
                  <c:v>68077.539999999994</c:v>
                </c:pt>
                <c:pt idx="43">
                  <c:v>64882.14</c:v>
                </c:pt>
                <c:pt idx="44">
                  <c:v>138855.51</c:v>
                </c:pt>
                <c:pt idx="45">
                  <c:v>63630.21</c:v>
                </c:pt>
                <c:pt idx="46">
                  <c:v>50043.65</c:v>
                </c:pt>
                <c:pt idx="47">
                  <c:v>42093.84</c:v>
                </c:pt>
                <c:pt idx="48">
                  <c:v>46624.05</c:v>
                </c:pt>
                <c:pt idx="49">
                  <c:v>49710.29</c:v>
                </c:pt>
                <c:pt idx="50">
                  <c:v>48287.85</c:v>
                </c:pt>
                <c:pt idx="51">
                  <c:v>65312.49</c:v>
                </c:pt>
                <c:pt idx="52">
                  <c:v>53015.46</c:v>
                </c:pt>
                <c:pt idx="53">
                  <c:v>99874.01</c:v>
                </c:pt>
                <c:pt idx="54">
                  <c:v>81195.5</c:v>
                </c:pt>
                <c:pt idx="55">
                  <c:v>27808.6</c:v>
                </c:pt>
                <c:pt idx="56">
                  <c:v>19365.060000000001</c:v>
                </c:pt>
                <c:pt idx="57">
                  <c:v>59405.68</c:v>
                </c:pt>
                <c:pt idx="58">
                  <c:v>118910.48</c:v>
                </c:pt>
                <c:pt idx="59">
                  <c:v>52952.12</c:v>
                </c:pt>
                <c:pt idx="60">
                  <c:v>74907.98</c:v>
                </c:pt>
                <c:pt idx="61">
                  <c:v>37284.660000000003</c:v>
                </c:pt>
                <c:pt idx="62">
                  <c:v>50343.19</c:v>
                </c:pt>
                <c:pt idx="63">
                  <c:v>74954.47</c:v>
                </c:pt>
                <c:pt idx="64">
                  <c:v>70040.31</c:v>
                </c:pt>
                <c:pt idx="65">
                  <c:v>51148.69</c:v>
                </c:pt>
                <c:pt idx="66">
                  <c:v>79346.100000000006</c:v>
                </c:pt>
                <c:pt idx="67">
                  <c:v>42018.400000000001</c:v>
                </c:pt>
                <c:pt idx="68">
                  <c:v>70937.240000000005</c:v>
                </c:pt>
                <c:pt idx="69">
                  <c:v>36813.449999999997</c:v>
                </c:pt>
                <c:pt idx="70">
                  <c:v>60571.82</c:v>
                </c:pt>
                <c:pt idx="71">
                  <c:v>55081.16</c:v>
                </c:pt>
                <c:pt idx="72">
                  <c:v>46201.46</c:v>
                </c:pt>
                <c:pt idx="73">
                  <c:v>53762.92</c:v>
                </c:pt>
                <c:pt idx="74">
                  <c:v>70144.78</c:v>
                </c:pt>
                <c:pt idx="75">
                  <c:v>58749.63</c:v>
                </c:pt>
                <c:pt idx="76">
                  <c:v>56973.18</c:v>
                </c:pt>
                <c:pt idx="77">
                  <c:v>54872.82</c:v>
                </c:pt>
                <c:pt idx="78">
                  <c:v>80562.81</c:v>
                </c:pt>
                <c:pt idx="79">
                  <c:v>77999.899999999994</c:v>
                </c:pt>
                <c:pt idx="80">
                  <c:v>60881.01</c:v>
                </c:pt>
                <c:pt idx="81">
                  <c:v>60628.38</c:v>
                </c:pt>
                <c:pt idx="82">
                  <c:v>72731.14</c:v>
                </c:pt>
                <c:pt idx="83">
                  <c:v>36475.71</c:v>
                </c:pt>
                <c:pt idx="84">
                  <c:v>55388.11</c:v>
                </c:pt>
                <c:pt idx="85">
                  <c:v>88443.77</c:v>
                </c:pt>
                <c:pt idx="86">
                  <c:v>78231.91</c:v>
                </c:pt>
                <c:pt idx="87">
                  <c:v>18996.32</c:v>
                </c:pt>
                <c:pt idx="88">
                  <c:v>50517.94</c:v>
                </c:pt>
                <c:pt idx="89">
                  <c:v>141540.29</c:v>
                </c:pt>
                <c:pt idx="90">
                  <c:v>82116.19</c:v>
                </c:pt>
                <c:pt idx="91">
                  <c:v>31207.51</c:v>
                </c:pt>
                <c:pt idx="92">
                  <c:v>38966.589999999997</c:v>
                </c:pt>
                <c:pt idx="93">
                  <c:v>67439.3</c:v>
                </c:pt>
                <c:pt idx="94">
                  <c:v>86421.88</c:v>
                </c:pt>
                <c:pt idx="95">
                  <c:v>9534.65</c:v>
                </c:pt>
                <c:pt idx="96">
                  <c:v>61132.07</c:v>
                </c:pt>
                <c:pt idx="97">
                  <c:v>78839.39</c:v>
                </c:pt>
                <c:pt idx="98">
                  <c:v>38752.800000000003</c:v>
                </c:pt>
                <c:pt idx="99">
                  <c:v>55101.1</c:v>
                </c:pt>
                <c:pt idx="100">
                  <c:v>53084.76</c:v>
                </c:pt>
                <c:pt idx="101">
                  <c:v>63101.59</c:v>
                </c:pt>
                <c:pt idx="102">
                  <c:v>90084.4</c:v>
                </c:pt>
                <c:pt idx="103">
                  <c:v>32266.639999999999</c:v>
                </c:pt>
                <c:pt idx="104">
                  <c:v>57919.07</c:v>
                </c:pt>
                <c:pt idx="105">
                  <c:v>74679.350000000006</c:v>
                </c:pt>
                <c:pt idx="106">
                  <c:v>64294.23</c:v>
                </c:pt>
                <c:pt idx="107">
                  <c:v>31042.03</c:v>
                </c:pt>
                <c:pt idx="108">
                  <c:v>75265.02</c:v>
                </c:pt>
                <c:pt idx="109">
                  <c:v>69411.7</c:v>
                </c:pt>
                <c:pt idx="110">
                  <c:v>51056.15</c:v>
                </c:pt>
                <c:pt idx="111">
                  <c:v>52758.01</c:v>
                </c:pt>
                <c:pt idx="112">
                  <c:v>61426.04</c:v>
                </c:pt>
                <c:pt idx="113">
                  <c:v>80176.34</c:v>
                </c:pt>
                <c:pt idx="114">
                  <c:v>33605.18</c:v>
                </c:pt>
                <c:pt idx="115">
                  <c:v>25990.54</c:v>
                </c:pt>
                <c:pt idx="116">
                  <c:v>43685.14</c:v>
                </c:pt>
                <c:pt idx="117">
                  <c:v>57360.01</c:v>
                </c:pt>
                <c:pt idx="118">
                  <c:v>42415.47</c:v>
                </c:pt>
                <c:pt idx="119">
                  <c:v>54968.98</c:v>
                </c:pt>
                <c:pt idx="120">
                  <c:v>43896.13</c:v>
                </c:pt>
                <c:pt idx="121">
                  <c:v>83044.17</c:v>
                </c:pt>
                <c:pt idx="122">
                  <c:v>48396.13</c:v>
                </c:pt>
                <c:pt idx="123">
                  <c:v>19063.48</c:v>
                </c:pt>
                <c:pt idx="124">
                  <c:v>61541.21</c:v>
                </c:pt>
                <c:pt idx="125">
                  <c:v>44747</c:v>
                </c:pt>
                <c:pt idx="126">
                  <c:v>56517.9</c:v>
                </c:pt>
                <c:pt idx="127">
                  <c:v>37828.5</c:v>
                </c:pt>
                <c:pt idx="128">
                  <c:v>66250.53</c:v>
                </c:pt>
                <c:pt idx="129">
                  <c:v>68410.929999999993</c:v>
                </c:pt>
                <c:pt idx="130">
                  <c:v>50735.63</c:v>
                </c:pt>
                <c:pt idx="131">
                  <c:v>66455.8</c:v>
                </c:pt>
                <c:pt idx="132">
                  <c:v>70276.28</c:v>
                </c:pt>
                <c:pt idx="133">
                  <c:v>22071.64</c:v>
                </c:pt>
                <c:pt idx="134">
                  <c:v>52285.45</c:v>
                </c:pt>
                <c:pt idx="135">
                  <c:v>70366.759999999995</c:v>
                </c:pt>
                <c:pt idx="136">
                  <c:v>71320.66</c:v>
                </c:pt>
                <c:pt idx="137">
                  <c:v>75109.67</c:v>
                </c:pt>
                <c:pt idx="138">
                  <c:v>69779</c:v>
                </c:pt>
                <c:pt idx="139">
                  <c:v>44211.95</c:v>
                </c:pt>
                <c:pt idx="140">
                  <c:v>51430.31</c:v>
                </c:pt>
                <c:pt idx="141">
                  <c:v>45706.49</c:v>
                </c:pt>
                <c:pt idx="142">
                  <c:v>44034.6</c:v>
                </c:pt>
                <c:pt idx="143">
                  <c:v>50198.12</c:v>
                </c:pt>
                <c:pt idx="144">
                  <c:v>70488.2</c:v>
                </c:pt>
                <c:pt idx="145">
                  <c:v>50909.27</c:v>
                </c:pt>
                <c:pt idx="146">
                  <c:v>53351.7</c:v>
                </c:pt>
                <c:pt idx="147">
                  <c:v>60322.400000000001</c:v>
                </c:pt>
                <c:pt idx="148">
                  <c:v>51575.68</c:v>
                </c:pt>
                <c:pt idx="149">
                  <c:v>43319.94</c:v>
                </c:pt>
                <c:pt idx="150">
                  <c:v>47093.55</c:v>
                </c:pt>
                <c:pt idx="151">
                  <c:v>71855.09</c:v>
                </c:pt>
                <c:pt idx="152">
                  <c:v>75645.23</c:v>
                </c:pt>
                <c:pt idx="153">
                  <c:v>64374.75</c:v>
                </c:pt>
                <c:pt idx="154">
                  <c:v>61433.84</c:v>
                </c:pt>
                <c:pt idx="155">
                  <c:v>42698.14</c:v>
                </c:pt>
                <c:pt idx="156">
                  <c:v>86883.31</c:v>
                </c:pt>
                <c:pt idx="157">
                  <c:v>41863.08</c:v>
                </c:pt>
                <c:pt idx="158">
                  <c:v>56918.16</c:v>
                </c:pt>
                <c:pt idx="159">
                  <c:v>23254.57</c:v>
                </c:pt>
                <c:pt idx="160">
                  <c:v>41443.410000000003</c:v>
                </c:pt>
                <c:pt idx="161">
                  <c:v>48438.85</c:v>
                </c:pt>
                <c:pt idx="162">
                  <c:v>57143.3</c:v>
                </c:pt>
                <c:pt idx="163">
                  <c:v>66870.62</c:v>
                </c:pt>
                <c:pt idx="164">
                  <c:v>72150.53</c:v>
                </c:pt>
                <c:pt idx="165">
                  <c:v>35303.300000000003</c:v>
                </c:pt>
                <c:pt idx="166">
                  <c:v>30301.86</c:v>
                </c:pt>
                <c:pt idx="167">
                  <c:v>78432.14</c:v>
                </c:pt>
                <c:pt idx="168">
                  <c:v>62059.18</c:v>
                </c:pt>
                <c:pt idx="169">
                  <c:v>32834.480000000003</c:v>
                </c:pt>
                <c:pt idx="170">
                  <c:v>50825.08</c:v>
                </c:pt>
                <c:pt idx="171">
                  <c:v>36606.51</c:v>
                </c:pt>
                <c:pt idx="172">
                  <c:v>65237.79</c:v>
                </c:pt>
                <c:pt idx="173">
                  <c:v>43645.98</c:v>
                </c:pt>
                <c:pt idx="174">
                  <c:v>68040.149999999994</c:v>
                </c:pt>
                <c:pt idx="175">
                  <c:v>63043.94</c:v>
                </c:pt>
                <c:pt idx="176">
                  <c:v>67494.09</c:v>
                </c:pt>
                <c:pt idx="177">
                  <c:v>29389.32</c:v>
                </c:pt>
                <c:pt idx="178">
                  <c:v>40535.089999999997</c:v>
                </c:pt>
                <c:pt idx="179">
                  <c:v>74881.56</c:v>
                </c:pt>
                <c:pt idx="180">
                  <c:v>68491.11</c:v>
                </c:pt>
                <c:pt idx="181">
                  <c:v>45209.25</c:v>
                </c:pt>
                <c:pt idx="182">
                  <c:v>63010.23</c:v>
                </c:pt>
                <c:pt idx="183">
                  <c:v>57948.88</c:v>
                </c:pt>
                <c:pt idx="184">
                  <c:v>71941.62</c:v>
                </c:pt>
                <c:pt idx="185">
                  <c:v>57147.88</c:v>
                </c:pt>
                <c:pt idx="186">
                  <c:v>48031.74</c:v>
                </c:pt>
                <c:pt idx="187">
                  <c:v>72784.800000000003</c:v>
                </c:pt>
                <c:pt idx="188">
                  <c:v>71641.899999999994</c:v>
                </c:pt>
                <c:pt idx="189">
                  <c:v>55788.61</c:v>
                </c:pt>
                <c:pt idx="190">
                  <c:v>37705.879999999997</c:v>
                </c:pt>
                <c:pt idx="191">
                  <c:v>54966.18</c:v>
                </c:pt>
                <c:pt idx="192">
                  <c:v>81796.740000000005</c:v>
                </c:pt>
                <c:pt idx="193">
                  <c:v>51133.43</c:v>
                </c:pt>
                <c:pt idx="194">
                  <c:v>40220.18</c:v>
                </c:pt>
                <c:pt idx="195">
                  <c:v>41657.64</c:v>
                </c:pt>
                <c:pt idx="196">
                  <c:v>71851.45</c:v>
                </c:pt>
                <c:pt idx="197">
                  <c:v>54002.83</c:v>
                </c:pt>
                <c:pt idx="198">
                  <c:v>54479.33</c:v>
                </c:pt>
                <c:pt idx="199">
                  <c:v>61391.8</c:v>
                </c:pt>
                <c:pt idx="200">
                  <c:v>22312.93</c:v>
                </c:pt>
                <c:pt idx="201">
                  <c:v>78111.97</c:v>
                </c:pt>
                <c:pt idx="202">
                  <c:v>35203.230000000003</c:v>
                </c:pt>
                <c:pt idx="203">
                  <c:v>64104.28</c:v>
                </c:pt>
                <c:pt idx="204">
                  <c:v>92090.14</c:v>
                </c:pt>
                <c:pt idx="205">
                  <c:v>54300.87</c:v>
                </c:pt>
                <c:pt idx="206">
                  <c:v>37983.35</c:v>
                </c:pt>
                <c:pt idx="207">
                  <c:v>56413.83</c:v>
                </c:pt>
                <c:pt idx="208">
                  <c:v>63457.19</c:v>
                </c:pt>
                <c:pt idx="209">
                  <c:v>62949.7</c:v>
                </c:pt>
                <c:pt idx="210">
                  <c:v>107970.19</c:v>
                </c:pt>
                <c:pt idx="211">
                  <c:v>49405.75</c:v>
                </c:pt>
                <c:pt idx="212">
                  <c:v>50887.46</c:v>
                </c:pt>
                <c:pt idx="213">
                  <c:v>41819.449999999997</c:v>
                </c:pt>
                <c:pt idx="214">
                  <c:v>35296.54</c:v>
                </c:pt>
                <c:pt idx="215">
                  <c:v>47391.09</c:v>
                </c:pt>
                <c:pt idx="216">
                  <c:v>69180.539999999994</c:v>
                </c:pt>
                <c:pt idx="217">
                  <c:v>33987.33</c:v>
                </c:pt>
                <c:pt idx="218">
                  <c:v>58785.33</c:v>
                </c:pt>
                <c:pt idx="219">
                  <c:v>16451.849999999999</c:v>
                </c:pt>
                <c:pt idx="220">
                  <c:v>53367.73</c:v>
                </c:pt>
                <c:pt idx="221">
                  <c:v>27194.639999999999</c:v>
                </c:pt>
                <c:pt idx="222">
                  <c:v>66962.740000000005</c:v>
                </c:pt>
                <c:pt idx="223">
                  <c:v>73540.990000000005</c:v>
                </c:pt>
                <c:pt idx="224">
                  <c:v>68212.289999999994</c:v>
                </c:pt>
                <c:pt idx="225">
                  <c:v>57225.98</c:v>
                </c:pt>
                <c:pt idx="226">
                  <c:v>42932.02</c:v>
                </c:pt>
                <c:pt idx="227">
                  <c:v>39341.449999999997</c:v>
                </c:pt>
                <c:pt idx="228">
                  <c:v>37324.230000000003</c:v>
                </c:pt>
                <c:pt idx="229">
                  <c:v>113736</c:v>
                </c:pt>
                <c:pt idx="230">
                  <c:v>33173.949999999997</c:v>
                </c:pt>
                <c:pt idx="231">
                  <c:v>25818.080000000002</c:v>
                </c:pt>
                <c:pt idx="232">
                  <c:v>47241.919999999998</c:v>
                </c:pt>
                <c:pt idx="233">
                  <c:v>61650.79</c:v>
                </c:pt>
                <c:pt idx="234">
                  <c:v>62582.71</c:v>
                </c:pt>
                <c:pt idx="235">
                  <c:v>47944.14</c:v>
                </c:pt>
                <c:pt idx="236">
                  <c:v>46495.4</c:v>
                </c:pt>
                <c:pt idx="237">
                  <c:v>72961.95</c:v>
                </c:pt>
                <c:pt idx="238">
                  <c:v>59060.05</c:v>
                </c:pt>
                <c:pt idx="239">
                  <c:v>26248.1</c:v>
                </c:pt>
                <c:pt idx="240">
                  <c:v>69900.12</c:v>
                </c:pt>
                <c:pt idx="241">
                  <c:v>51781.599999999999</c:v>
                </c:pt>
                <c:pt idx="242">
                  <c:v>70799.64</c:v>
                </c:pt>
                <c:pt idx="243">
                  <c:v>53546.34</c:v>
                </c:pt>
                <c:pt idx="244">
                  <c:v>76942.2</c:v>
                </c:pt>
                <c:pt idx="245">
                  <c:v>48060.78</c:v>
                </c:pt>
                <c:pt idx="246">
                  <c:v>57390.04</c:v>
                </c:pt>
                <c:pt idx="247">
                  <c:v>21536.18</c:v>
                </c:pt>
                <c:pt idx="248">
                  <c:v>40923.67</c:v>
                </c:pt>
                <c:pt idx="249">
                  <c:v>72932.55</c:v>
                </c:pt>
                <c:pt idx="250">
                  <c:v>38361.93</c:v>
                </c:pt>
                <c:pt idx="251">
                  <c:v>97480.94</c:v>
                </c:pt>
                <c:pt idx="252">
                  <c:v>81801.8</c:v>
                </c:pt>
                <c:pt idx="253">
                  <c:v>63582.11</c:v>
                </c:pt>
                <c:pt idx="254">
                  <c:v>75412.740000000005</c:v>
                </c:pt>
                <c:pt idx="255">
                  <c:v>36290.080000000002</c:v>
                </c:pt>
                <c:pt idx="256">
                  <c:v>65272.58</c:v>
                </c:pt>
                <c:pt idx="257">
                  <c:v>28670.43</c:v>
                </c:pt>
                <c:pt idx="258">
                  <c:v>44189.34</c:v>
                </c:pt>
                <c:pt idx="259">
                  <c:v>38397.82</c:v>
                </c:pt>
                <c:pt idx="260">
                  <c:v>14519.37</c:v>
                </c:pt>
                <c:pt idx="261">
                  <c:v>43288.2</c:v>
                </c:pt>
                <c:pt idx="262">
                  <c:v>51450.55</c:v>
                </c:pt>
                <c:pt idx="263">
                  <c:v>58688.26</c:v>
                </c:pt>
                <c:pt idx="264">
                  <c:v>58981.91</c:v>
                </c:pt>
                <c:pt idx="265">
                  <c:v>73454.539999999994</c:v>
                </c:pt>
                <c:pt idx="266">
                  <c:v>56602.39</c:v>
                </c:pt>
                <c:pt idx="267">
                  <c:v>67722.289999999994</c:v>
                </c:pt>
                <c:pt idx="268">
                  <c:v>48752.92</c:v>
                </c:pt>
                <c:pt idx="269">
                  <c:v>23914.97</c:v>
                </c:pt>
                <c:pt idx="270">
                  <c:v>61995.3</c:v>
                </c:pt>
                <c:pt idx="271">
                  <c:v>29344.93</c:v>
                </c:pt>
                <c:pt idx="272">
                  <c:v>50532.17</c:v>
                </c:pt>
                <c:pt idx="273">
                  <c:v>17562.57</c:v>
                </c:pt>
                <c:pt idx="274">
                  <c:v>47648.71</c:v>
                </c:pt>
                <c:pt idx="275">
                  <c:v>38297.58</c:v>
                </c:pt>
                <c:pt idx="276">
                  <c:v>61784.11</c:v>
                </c:pt>
                <c:pt idx="277">
                  <c:v>36832.33</c:v>
                </c:pt>
                <c:pt idx="278">
                  <c:v>48609.41</c:v>
                </c:pt>
                <c:pt idx="279">
                  <c:v>70284.06</c:v>
                </c:pt>
                <c:pt idx="280">
                  <c:v>45940.39</c:v>
                </c:pt>
                <c:pt idx="281">
                  <c:v>34771.26</c:v>
                </c:pt>
                <c:pt idx="282">
                  <c:v>66104.19</c:v>
                </c:pt>
                <c:pt idx="283">
                  <c:v>18599.21</c:v>
                </c:pt>
                <c:pt idx="284">
                  <c:v>60183.06</c:v>
                </c:pt>
                <c:pt idx="285">
                  <c:v>74539.14</c:v>
                </c:pt>
                <c:pt idx="286">
                  <c:v>55371.97</c:v>
                </c:pt>
                <c:pt idx="287">
                  <c:v>40928.69</c:v>
                </c:pt>
                <c:pt idx="288">
                  <c:v>70012.41</c:v>
                </c:pt>
                <c:pt idx="289">
                  <c:v>68909.259999999995</c:v>
                </c:pt>
                <c:pt idx="290">
                  <c:v>56737.3</c:v>
                </c:pt>
                <c:pt idx="291">
                  <c:v>54080.91</c:v>
                </c:pt>
                <c:pt idx="292">
                  <c:v>51996.32</c:v>
                </c:pt>
                <c:pt idx="293">
                  <c:v>40102.879999999997</c:v>
                </c:pt>
                <c:pt idx="294">
                  <c:v>59825.51</c:v>
                </c:pt>
                <c:pt idx="295">
                  <c:v>27398.28</c:v>
                </c:pt>
                <c:pt idx="296">
                  <c:v>55599.56</c:v>
                </c:pt>
                <c:pt idx="297">
                  <c:v>55477.61</c:v>
                </c:pt>
                <c:pt idx="298">
                  <c:v>46174.7</c:v>
                </c:pt>
                <c:pt idx="299">
                  <c:v>24362.98</c:v>
                </c:pt>
                <c:pt idx="300">
                  <c:v>40647.67</c:v>
                </c:pt>
                <c:pt idx="301">
                  <c:v>63986.98</c:v>
                </c:pt>
                <c:pt idx="302">
                  <c:v>52843.75</c:v>
                </c:pt>
                <c:pt idx="303">
                  <c:v>31997.25</c:v>
                </c:pt>
                <c:pt idx="304">
                  <c:v>54948.02</c:v>
                </c:pt>
                <c:pt idx="305">
                  <c:v>46146.239999999998</c:v>
                </c:pt>
                <c:pt idx="306">
                  <c:v>22387.26</c:v>
                </c:pt>
                <c:pt idx="307">
                  <c:v>60684.05</c:v>
                </c:pt>
                <c:pt idx="308">
                  <c:v>48465.599999999999</c:v>
                </c:pt>
                <c:pt idx="309">
                  <c:v>23702.38</c:v>
                </c:pt>
                <c:pt idx="310">
                  <c:v>54322.94</c:v>
                </c:pt>
                <c:pt idx="311">
                  <c:v>86026.58</c:v>
                </c:pt>
                <c:pt idx="312">
                  <c:v>78967.520000000004</c:v>
                </c:pt>
                <c:pt idx="313">
                  <c:v>46767.99</c:v>
                </c:pt>
                <c:pt idx="314">
                  <c:v>62507.16</c:v>
                </c:pt>
                <c:pt idx="315">
                  <c:v>66456.28</c:v>
                </c:pt>
                <c:pt idx="316">
                  <c:v>76614.320000000007</c:v>
                </c:pt>
                <c:pt idx="317">
                  <c:v>24088.06</c:v>
                </c:pt>
                <c:pt idx="318">
                  <c:v>81902.58</c:v>
                </c:pt>
                <c:pt idx="319">
                  <c:v>40553.11</c:v>
                </c:pt>
              </c:numCache>
            </c:numRef>
          </c:xVal>
          <c:yVal>
            <c:numRef>
              <c:f>'Multiple Regression'!$C$28:$C$347</c:f>
              <c:numCache>
                <c:formatCode>General</c:formatCode>
                <c:ptCount val="320"/>
                <c:pt idx="0">
                  <c:v>-100420.62684002204</c:v>
                </c:pt>
                <c:pt idx="1">
                  <c:v>-89652.887418913539</c:v>
                </c:pt>
                <c:pt idx="2">
                  <c:v>-87785.883133220486</c:v>
                </c:pt>
                <c:pt idx="3">
                  <c:v>-113977.41900166171</c:v>
                </c:pt>
                <c:pt idx="4">
                  <c:v>-17895.154641028377</c:v>
                </c:pt>
                <c:pt idx="5">
                  <c:v>-34884.97007738275</c:v>
                </c:pt>
                <c:pt idx="6">
                  <c:v>4279.6720102805411</c:v>
                </c:pt>
                <c:pt idx="7">
                  <c:v>92092.816952184774</c:v>
                </c:pt>
                <c:pt idx="8">
                  <c:v>95147.280791831086</c:v>
                </c:pt>
                <c:pt idx="9">
                  <c:v>-747.01342221722007</c:v>
                </c:pt>
                <c:pt idx="10">
                  <c:v>-9179.3333604729269</c:v>
                </c:pt>
                <c:pt idx="11">
                  <c:v>52459.205559065216</c:v>
                </c:pt>
                <c:pt idx="12">
                  <c:v>17696.363287678687</c:v>
                </c:pt>
                <c:pt idx="13">
                  <c:v>-65551.453624979476</c:v>
                </c:pt>
                <c:pt idx="14">
                  <c:v>-4262.5472104754299</c:v>
                </c:pt>
                <c:pt idx="15">
                  <c:v>-22561.315595235559</c:v>
                </c:pt>
                <c:pt idx="16">
                  <c:v>-30034.999787871726</c:v>
                </c:pt>
                <c:pt idx="17">
                  <c:v>-30888.896363610402</c:v>
                </c:pt>
                <c:pt idx="18">
                  <c:v>-13229.856280150358</c:v>
                </c:pt>
                <c:pt idx="19">
                  <c:v>-9068.6514413498808</c:v>
                </c:pt>
                <c:pt idx="20">
                  <c:v>-97318.287440096785</c:v>
                </c:pt>
                <c:pt idx="21">
                  <c:v>-6074.5612942008884</c:v>
                </c:pt>
                <c:pt idx="22">
                  <c:v>4859.6868681036867</c:v>
                </c:pt>
                <c:pt idx="23">
                  <c:v>22391.867634382681</c:v>
                </c:pt>
                <c:pt idx="24">
                  <c:v>-794.35043710807804</c:v>
                </c:pt>
                <c:pt idx="25">
                  <c:v>-97599.295824801433</c:v>
                </c:pt>
                <c:pt idx="26">
                  <c:v>8427.1855978944805</c:v>
                </c:pt>
                <c:pt idx="27">
                  <c:v>-4641.4888685437618</c:v>
                </c:pt>
                <c:pt idx="28">
                  <c:v>-93313.799461466202</c:v>
                </c:pt>
                <c:pt idx="29">
                  <c:v>179.74964938976336</c:v>
                </c:pt>
                <c:pt idx="30">
                  <c:v>-26123.300982835004</c:v>
                </c:pt>
                <c:pt idx="31">
                  <c:v>-73462.144224243064</c:v>
                </c:pt>
                <c:pt idx="32">
                  <c:v>-124322.23204522603</c:v>
                </c:pt>
                <c:pt idx="33">
                  <c:v>-75029.317425237619</c:v>
                </c:pt>
                <c:pt idx="34">
                  <c:v>-3644.0343461587327</c:v>
                </c:pt>
                <c:pt idx="35">
                  <c:v>8052.1281186901033</c:v>
                </c:pt>
                <c:pt idx="36">
                  <c:v>42225.781117661973</c:v>
                </c:pt>
                <c:pt idx="37">
                  <c:v>-15524.762027428718</c:v>
                </c:pt>
                <c:pt idx="38">
                  <c:v>-10121.594455058337</c:v>
                </c:pt>
                <c:pt idx="39">
                  <c:v>35795.346234190743</c:v>
                </c:pt>
                <c:pt idx="40">
                  <c:v>38380.134007601766</c:v>
                </c:pt>
                <c:pt idx="41">
                  <c:v>-19719.450929026818</c:v>
                </c:pt>
                <c:pt idx="42">
                  <c:v>74298.945500782807</c:v>
                </c:pt>
                <c:pt idx="43">
                  <c:v>6564.3751155552454</c:v>
                </c:pt>
                <c:pt idx="44">
                  <c:v>-144549.59982507746</c:v>
                </c:pt>
                <c:pt idx="45">
                  <c:v>-16349.862719950033</c:v>
                </c:pt>
                <c:pt idx="46">
                  <c:v>25516.588189551025</c:v>
                </c:pt>
                <c:pt idx="47">
                  <c:v>-217.26740525965579</c:v>
                </c:pt>
                <c:pt idx="48">
                  <c:v>3866.6653514152858</c:v>
                </c:pt>
                <c:pt idx="49">
                  <c:v>-24777.193410099484</c:v>
                </c:pt>
                <c:pt idx="50">
                  <c:v>-5653.5018245971296</c:v>
                </c:pt>
                <c:pt idx="51">
                  <c:v>58403.002128602006</c:v>
                </c:pt>
                <c:pt idx="52">
                  <c:v>-113810.94625542732</c:v>
                </c:pt>
                <c:pt idx="53">
                  <c:v>43988.843817234156</c:v>
                </c:pt>
                <c:pt idx="54">
                  <c:v>38048.77017331461</c:v>
                </c:pt>
                <c:pt idx="55">
                  <c:v>-47862.719327041821</c:v>
                </c:pt>
                <c:pt idx="56">
                  <c:v>11957.694344255025</c:v>
                </c:pt>
                <c:pt idx="57">
                  <c:v>-52486.556184690562</c:v>
                </c:pt>
                <c:pt idx="58">
                  <c:v>-45087.89719693712</c:v>
                </c:pt>
                <c:pt idx="59">
                  <c:v>-49491.180917392252</c:v>
                </c:pt>
                <c:pt idx="60">
                  <c:v>87497.284771312843</c:v>
                </c:pt>
                <c:pt idx="61">
                  <c:v>44018.184945800807</c:v>
                </c:pt>
                <c:pt idx="62">
                  <c:v>-8552.3288417842705</c:v>
                </c:pt>
                <c:pt idx="63">
                  <c:v>54932.249868366285</c:v>
                </c:pt>
                <c:pt idx="64">
                  <c:v>-8336.2901795608923</c:v>
                </c:pt>
                <c:pt idx="65">
                  <c:v>-8414.9099775097566</c:v>
                </c:pt>
                <c:pt idx="66">
                  <c:v>-133693.52211727703</c:v>
                </c:pt>
                <c:pt idx="67">
                  <c:v>9746.4698780517792</c:v>
                </c:pt>
                <c:pt idx="68">
                  <c:v>68807.360417435411</c:v>
                </c:pt>
                <c:pt idx="69">
                  <c:v>-45280.2831562598</c:v>
                </c:pt>
                <c:pt idx="70">
                  <c:v>42147.909705571597</c:v>
                </c:pt>
                <c:pt idx="71">
                  <c:v>26955.360515957815</c:v>
                </c:pt>
                <c:pt idx="72">
                  <c:v>-14838.505855177413</c:v>
                </c:pt>
                <c:pt idx="73">
                  <c:v>-57674.953360357904</c:v>
                </c:pt>
                <c:pt idx="74">
                  <c:v>91369.553499722038</c:v>
                </c:pt>
                <c:pt idx="75">
                  <c:v>-49235.683655404369</c:v>
                </c:pt>
                <c:pt idx="76">
                  <c:v>-40151.451702238992</c:v>
                </c:pt>
                <c:pt idx="77">
                  <c:v>30000.159458805807</c:v>
                </c:pt>
                <c:pt idx="78">
                  <c:v>45534.429171196185</c:v>
                </c:pt>
                <c:pt idx="79">
                  <c:v>-34613.129517767578</c:v>
                </c:pt>
                <c:pt idx="80">
                  <c:v>-28302.230039484566</c:v>
                </c:pt>
                <c:pt idx="81">
                  <c:v>57573.135636606719</c:v>
                </c:pt>
                <c:pt idx="82">
                  <c:v>81387.092101865914</c:v>
                </c:pt>
                <c:pt idx="83">
                  <c:v>-3875.4113843631931</c:v>
                </c:pt>
                <c:pt idx="84">
                  <c:v>2561.995789917768</c:v>
                </c:pt>
                <c:pt idx="85">
                  <c:v>-19676.381259778864</c:v>
                </c:pt>
                <c:pt idx="86">
                  <c:v>-10998.499357024324</c:v>
                </c:pt>
                <c:pt idx="87">
                  <c:v>-15030.3257497882</c:v>
                </c:pt>
                <c:pt idx="88">
                  <c:v>16309.558481779066</c:v>
                </c:pt>
                <c:pt idx="89">
                  <c:v>-118183.91577245318</c:v>
                </c:pt>
                <c:pt idx="90">
                  <c:v>44750.795408065547</c:v>
                </c:pt>
                <c:pt idx="91">
                  <c:v>26145.931442624191</c:v>
                </c:pt>
                <c:pt idx="92">
                  <c:v>-7234.879779844312</c:v>
                </c:pt>
                <c:pt idx="93">
                  <c:v>44675.249277184019</c:v>
                </c:pt>
                <c:pt idx="94">
                  <c:v>64210.709993797704</c:v>
                </c:pt>
                <c:pt idx="95">
                  <c:v>-14378.964138212148</c:v>
                </c:pt>
                <c:pt idx="96">
                  <c:v>6711.4812516295351</c:v>
                </c:pt>
                <c:pt idx="97">
                  <c:v>73427.061644917238</c:v>
                </c:pt>
                <c:pt idx="98">
                  <c:v>-4506.1932534069056</c:v>
                </c:pt>
                <c:pt idx="99">
                  <c:v>37296.379545412841</c:v>
                </c:pt>
                <c:pt idx="100">
                  <c:v>61589.492777783307</c:v>
                </c:pt>
                <c:pt idx="101">
                  <c:v>-20858.723325389903</c:v>
                </c:pt>
                <c:pt idx="102">
                  <c:v>20449.065187108237</c:v>
                </c:pt>
                <c:pt idx="103">
                  <c:v>110622.55521620996</c:v>
                </c:pt>
                <c:pt idx="104">
                  <c:v>8272.9319939650595</c:v>
                </c:pt>
                <c:pt idx="105">
                  <c:v>-4200.6450870366534</c:v>
                </c:pt>
                <c:pt idx="106">
                  <c:v>84425.960055753472</c:v>
                </c:pt>
                <c:pt idx="107">
                  <c:v>-18428.198063588003</c:v>
                </c:pt>
                <c:pt idx="108">
                  <c:v>-596.58455591415986</c:v>
                </c:pt>
                <c:pt idx="109">
                  <c:v>22444.779510559631</c:v>
                </c:pt>
                <c:pt idx="110">
                  <c:v>-11798.607170544565</c:v>
                </c:pt>
                <c:pt idx="111">
                  <c:v>118024.08845192799</c:v>
                </c:pt>
                <c:pt idx="112">
                  <c:v>8218.3655582031934</c:v>
                </c:pt>
                <c:pt idx="113">
                  <c:v>61570.893393078935</c:v>
                </c:pt>
                <c:pt idx="114">
                  <c:v>-51176.695722335484</c:v>
                </c:pt>
                <c:pt idx="115">
                  <c:v>-24304.396525362041</c:v>
                </c:pt>
                <c:pt idx="116">
                  <c:v>4881.5419769196305</c:v>
                </c:pt>
                <c:pt idx="117">
                  <c:v>70872.963595701847</c:v>
                </c:pt>
                <c:pt idx="118">
                  <c:v>-52640.460269912845</c:v>
                </c:pt>
                <c:pt idx="119">
                  <c:v>16470.52751990268</c:v>
                </c:pt>
                <c:pt idx="120">
                  <c:v>-66227.278298011573</c:v>
                </c:pt>
                <c:pt idx="121">
                  <c:v>31614.887451365008</c:v>
                </c:pt>
                <c:pt idx="122">
                  <c:v>-44158.473568045767</c:v>
                </c:pt>
                <c:pt idx="123">
                  <c:v>-29501.405436247936</c:v>
                </c:pt>
                <c:pt idx="124">
                  <c:v>102244.73807574366</c:v>
                </c:pt>
                <c:pt idx="125">
                  <c:v>31114.454439741792</c:v>
                </c:pt>
                <c:pt idx="126">
                  <c:v>70336.520148017211</c:v>
                </c:pt>
                <c:pt idx="127">
                  <c:v>-17556.995358125656</c:v>
                </c:pt>
                <c:pt idx="128">
                  <c:v>25592.959082807763</c:v>
                </c:pt>
                <c:pt idx="129">
                  <c:v>-17557.730398292071</c:v>
                </c:pt>
                <c:pt idx="130">
                  <c:v>-46832.44180727168</c:v>
                </c:pt>
                <c:pt idx="131">
                  <c:v>-24216.966919748345</c:v>
                </c:pt>
                <c:pt idx="132">
                  <c:v>-52030.750280288747</c:v>
                </c:pt>
                <c:pt idx="133">
                  <c:v>-72050.414505830442</c:v>
                </c:pt>
                <c:pt idx="134">
                  <c:v>15702.340170343174</c:v>
                </c:pt>
                <c:pt idx="135">
                  <c:v>-4986.1347896574298</c:v>
                </c:pt>
                <c:pt idx="136">
                  <c:v>-112247.72903956869</c:v>
                </c:pt>
                <c:pt idx="137">
                  <c:v>51078.728030106402</c:v>
                </c:pt>
                <c:pt idx="138">
                  <c:v>69017.015106998384</c:v>
                </c:pt>
                <c:pt idx="139">
                  <c:v>25149.398806963698</c:v>
                </c:pt>
                <c:pt idx="140">
                  <c:v>47704.973410718259</c:v>
                </c:pt>
                <c:pt idx="141">
                  <c:v>26767.927093807724</c:v>
                </c:pt>
                <c:pt idx="142">
                  <c:v>34502.026257431135</c:v>
                </c:pt>
                <c:pt idx="143">
                  <c:v>35054.405212786398</c:v>
                </c:pt>
                <c:pt idx="144">
                  <c:v>-36462.659379157354</c:v>
                </c:pt>
                <c:pt idx="145">
                  <c:v>-25582.46000531665</c:v>
                </c:pt>
                <c:pt idx="146">
                  <c:v>7495.2333483960247</c:v>
                </c:pt>
                <c:pt idx="147">
                  <c:v>-4778.9537662650691</c:v>
                </c:pt>
                <c:pt idx="148">
                  <c:v>-23595.820151095162</c:v>
                </c:pt>
                <c:pt idx="149">
                  <c:v>43357.226346171228</c:v>
                </c:pt>
                <c:pt idx="150">
                  <c:v>61498.041608201806</c:v>
                </c:pt>
                <c:pt idx="151">
                  <c:v>58907.413825458381</c:v>
                </c:pt>
                <c:pt idx="152">
                  <c:v>-9251.4639504638035</c:v>
                </c:pt>
                <c:pt idx="153">
                  <c:v>9756.5804077145876</c:v>
                </c:pt>
                <c:pt idx="154">
                  <c:v>-32318.817933423561</c:v>
                </c:pt>
                <c:pt idx="155">
                  <c:v>7848.3216818774818</c:v>
                </c:pt>
                <c:pt idx="156">
                  <c:v>-13575.113015280222</c:v>
                </c:pt>
                <c:pt idx="157">
                  <c:v>-21019.201434904826</c:v>
                </c:pt>
                <c:pt idx="158">
                  <c:v>33757.877881731489</c:v>
                </c:pt>
                <c:pt idx="159">
                  <c:v>75231.325101392576</c:v>
                </c:pt>
                <c:pt idx="160">
                  <c:v>-35637.521894251695</c:v>
                </c:pt>
                <c:pt idx="161">
                  <c:v>87276.962690469343</c:v>
                </c:pt>
                <c:pt idx="162">
                  <c:v>-44854.762046281598</c:v>
                </c:pt>
                <c:pt idx="163">
                  <c:v>15100.517932407209</c:v>
                </c:pt>
                <c:pt idx="164">
                  <c:v>40455.736030117609</c:v>
                </c:pt>
                <c:pt idx="165">
                  <c:v>-22227.856196966721</c:v>
                </c:pt>
                <c:pt idx="166">
                  <c:v>1883.1822863548296</c:v>
                </c:pt>
                <c:pt idx="167">
                  <c:v>21568.893398693646</c:v>
                </c:pt>
                <c:pt idx="168">
                  <c:v>-37602.417123343446</c:v>
                </c:pt>
                <c:pt idx="169">
                  <c:v>-93479.137994827353</c:v>
                </c:pt>
                <c:pt idx="170">
                  <c:v>21172.985029219068</c:v>
                </c:pt>
                <c:pt idx="171">
                  <c:v>-13181.655866858782</c:v>
                </c:pt>
                <c:pt idx="172">
                  <c:v>22400.435171063291</c:v>
                </c:pt>
                <c:pt idx="173">
                  <c:v>-41072.761585849803</c:v>
                </c:pt>
                <c:pt idx="174">
                  <c:v>-42245.076625697548</c:v>
                </c:pt>
                <c:pt idx="175">
                  <c:v>-6758.0980688635027</c:v>
                </c:pt>
                <c:pt idx="176">
                  <c:v>-14744.362538438174</c:v>
                </c:pt>
                <c:pt idx="177">
                  <c:v>85141.562745622708</c:v>
                </c:pt>
                <c:pt idx="178">
                  <c:v>27073.029137542238</c:v>
                </c:pt>
                <c:pt idx="179">
                  <c:v>63702.726232068148</c:v>
                </c:pt>
                <c:pt idx="180">
                  <c:v>-11547.526648097089</c:v>
                </c:pt>
                <c:pt idx="181">
                  <c:v>-13946.250712551409</c:v>
                </c:pt>
                <c:pt idx="182">
                  <c:v>-44614.103978902218</c:v>
                </c:pt>
                <c:pt idx="183">
                  <c:v>-15262.763380505843</c:v>
                </c:pt>
                <c:pt idx="184">
                  <c:v>-2060.2338846030179</c:v>
                </c:pt>
                <c:pt idx="185">
                  <c:v>47032.076293993043</c:v>
                </c:pt>
                <c:pt idx="186">
                  <c:v>94247.49163861631</c:v>
                </c:pt>
                <c:pt idx="187">
                  <c:v>-32408.002826419775</c:v>
                </c:pt>
                <c:pt idx="188">
                  <c:v>22572.674996765913</c:v>
                </c:pt>
                <c:pt idx="189">
                  <c:v>10788.864672538242</c:v>
                </c:pt>
                <c:pt idx="190">
                  <c:v>-23485.799719653907</c:v>
                </c:pt>
                <c:pt idx="191">
                  <c:v>-44745.957731283386</c:v>
                </c:pt>
                <c:pt idx="192">
                  <c:v>-57108.648873547674</c:v>
                </c:pt>
                <c:pt idx="193">
                  <c:v>-20500.407725128811</c:v>
                </c:pt>
                <c:pt idx="194">
                  <c:v>-20107.203182502883</c:v>
                </c:pt>
                <c:pt idx="195">
                  <c:v>-97550.900879935769</c:v>
                </c:pt>
                <c:pt idx="196">
                  <c:v>47327.971045484301</c:v>
                </c:pt>
                <c:pt idx="197">
                  <c:v>-35763.481345176115</c:v>
                </c:pt>
                <c:pt idx="198">
                  <c:v>-30345.090562100057</c:v>
                </c:pt>
                <c:pt idx="199">
                  <c:v>91318.062491319026</c:v>
                </c:pt>
                <c:pt idx="200">
                  <c:v>-19708.400209581712</c:v>
                </c:pt>
                <c:pt idx="201">
                  <c:v>93450.981729638996</c:v>
                </c:pt>
                <c:pt idx="202">
                  <c:v>-65835.470778974355</c:v>
                </c:pt>
                <c:pt idx="203">
                  <c:v>-17017.987621743814</c:v>
                </c:pt>
                <c:pt idx="204">
                  <c:v>4195.4842225813773</c:v>
                </c:pt>
                <c:pt idx="205">
                  <c:v>74601.308650100487</c:v>
                </c:pt>
                <c:pt idx="206">
                  <c:v>-73971.962073270115</c:v>
                </c:pt>
                <c:pt idx="207">
                  <c:v>-60917.856760576484</c:v>
                </c:pt>
                <c:pt idx="208">
                  <c:v>2761.0240973115433</c:v>
                </c:pt>
                <c:pt idx="209">
                  <c:v>-86878.807167985477</c:v>
                </c:pt>
                <c:pt idx="210">
                  <c:v>-9646.0524120699847</c:v>
                </c:pt>
                <c:pt idx="211">
                  <c:v>-17572.370198919089</c:v>
                </c:pt>
                <c:pt idx="212">
                  <c:v>28607.959789365181</c:v>
                </c:pt>
                <c:pt idx="213">
                  <c:v>40092.945245480165</c:v>
                </c:pt>
                <c:pt idx="214">
                  <c:v>-26211.698213939555</c:v>
                </c:pt>
                <c:pt idx="215">
                  <c:v>4602.4661483311793</c:v>
                </c:pt>
                <c:pt idx="216">
                  <c:v>21456.206849293085</c:v>
                </c:pt>
                <c:pt idx="217">
                  <c:v>33476.115296774195</c:v>
                </c:pt>
                <c:pt idx="218">
                  <c:v>72577.241034327424</c:v>
                </c:pt>
                <c:pt idx="219">
                  <c:v>38080.233963117353</c:v>
                </c:pt>
                <c:pt idx="220">
                  <c:v>15473.864594966522</c:v>
                </c:pt>
                <c:pt idx="221">
                  <c:v>-3231.0537468598923</c:v>
                </c:pt>
                <c:pt idx="222">
                  <c:v>-1969.7670809662668</c:v>
                </c:pt>
                <c:pt idx="223">
                  <c:v>-55736.270895127207</c:v>
                </c:pt>
                <c:pt idx="224">
                  <c:v>19067.147731530364</c:v>
                </c:pt>
                <c:pt idx="225">
                  <c:v>-18270.753516446915</c:v>
                </c:pt>
                <c:pt idx="226">
                  <c:v>-40220.989072596654</c:v>
                </c:pt>
                <c:pt idx="227">
                  <c:v>42684.485596942774</c:v>
                </c:pt>
                <c:pt idx="228">
                  <c:v>-69398.655618409044</c:v>
                </c:pt>
                <c:pt idx="229">
                  <c:v>54424.580247317557</c:v>
                </c:pt>
                <c:pt idx="230">
                  <c:v>-49728.630330819637</c:v>
                </c:pt>
                <c:pt idx="231">
                  <c:v>30734.517612631316</c:v>
                </c:pt>
                <c:pt idx="232">
                  <c:v>52639.325475548976</c:v>
                </c:pt>
                <c:pt idx="233">
                  <c:v>71051.178042954765</c:v>
                </c:pt>
                <c:pt idx="234">
                  <c:v>-24858.489143541432</c:v>
                </c:pt>
                <c:pt idx="235">
                  <c:v>4884.9312689661747</c:v>
                </c:pt>
                <c:pt idx="236">
                  <c:v>-68338.816090602661</c:v>
                </c:pt>
                <c:pt idx="237">
                  <c:v>-13452.776181930793</c:v>
                </c:pt>
                <c:pt idx="238">
                  <c:v>-27792.87307217333</c:v>
                </c:pt>
                <c:pt idx="239">
                  <c:v>-3621.3628322615987</c:v>
                </c:pt>
                <c:pt idx="240">
                  <c:v>47752.429159113439</c:v>
                </c:pt>
                <c:pt idx="241">
                  <c:v>28837.988218099112</c:v>
                </c:pt>
                <c:pt idx="242">
                  <c:v>18697.130349543761</c:v>
                </c:pt>
                <c:pt idx="243">
                  <c:v>29349.246219854336</c:v>
                </c:pt>
                <c:pt idx="244">
                  <c:v>17800.435509618372</c:v>
                </c:pt>
                <c:pt idx="245">
                  <c:v>-1567.870157953701</c:v>
                </c:pt>
                <c:pt idx="246">
                  <c:v>-19208.739816944464</c:v>
                </c:pt>
                <c:pt idx="247">
                  <c:v>-1264.8752229106613</c:v>
                </c:pt>
                <c:pt idx="248">
                  <c:v>39205.290238046087</c:v>
                </c:pt>
                <c:pt idx="249">
                  <c:v>-35658.241440274986</c:v>
                </c:pt>
                <c:pt idx="250">
                  <c:v>12049.447367619839</c:v>
                </c:pt>
                <c:pt idx="251">
                  <c:v>-7574.6535088893725</c:v>
                </c:pt>
                <c:pt idx="252">
                  <c:v>44440.011905524065</c:v>
                </c:pt>
                <c:pt idx="253">
                  <c:v>98905.760182968224</c:v>
                </c:pt>
                <c:pt idx="254">
                  <c:v>45933.026480561472</c:v>
                </c:pt>
                <c:pt idx="255">
                  <c:v>-27377.195213678177</c:v>
                </c:pt>
                <c:pt idx="256">
                  <c:v>92070.70021103078</c:v>
                </c:pt>
                <c:pt idx="257">
                  <c:v>16904.243426369154</c:v>
                </c:pt>
                <c:pt idx="258">
                  <c:v>14467.488296378986</c:v>
                </c:pt>
                <c:pt idx="259">
                  <c:v>65790.93869975768</c:v>
                </c:pt>
                <c:pt idx="260">
                  <c:v>7337.3124809980509</c:v>
                </c:pt>
                <c:pt idx="261">
                  <c:v>-3747.9274962609634</c:v>
                </c:pt>
                <c:pt idx="262">
                  <c:v>47511.418596534175</c:v>
                </c:pt>
                <c:pt idx="263">
                  <c:v>39389.065845469362</c:v>
                </c:pt>
                <c:pt idx="264">
                  <c:v>139.94007491623051</c:v>
                </c:pt>
                <c:pt idx="265">
                  <c:v>25826.005803710665</c:v>
                </c:pt>
                <c:pt idx="266">
                  <c:v>24523.43772083777</c:v>
                </c:pt>
                <c:pt idx="267">
                  <c:v>40337.600188660203</c:v>
                </c:pt>
                <c:pt idx="268">
                  <c:v>-59947.526895461022</c:v>
                </c:pt>
                <c:pt idx="269">
                  <c:v>51111.620341348927</c:v>
                </c:pt>
                <c:pt idx="270">
                  <c:v>429.73259897658136</c:v>
                </c:pt>
                <c:pt idx="271">
                  <c:v>-84377.524289424182</c:v>
                </c:pt>
                <c:pt idx="272">
                  <c:v>-13471.097186358878</c:v>
                </c:pt>
                <c:pt idx="273">
                  <c:v>28849.685380332987</c:v>
                </c:pt>
                <c:pt idx="274">
                  <c:v>-14129.355007054401</c:v>
                </c:pt>
                <c:pt idx="275">
                  <c:v>52566.585893198266</c:v>
                </c:pt>
                <c:pt idx="276">
                  <c:v>-77388.773241001065</c:v>
                </c:pt>
                <c:pt idx="277">
                  <c:v>23851.775322349393</c:v>
                </c:pt>
                <c:pt idx="278">
                  <c:v>2983.0656973925652</c:v>
                </c:pt>
                <c:pt idx="279">
                  <c:v>-28463.419700780418</c:v>
                </c:pt>
                <c:pt idx="280">
                  <c:v>-60493.106587629649</c:v>
                </c:pt>
                <c:pt idx="281">
                  <c:v>-29900.422214305378</c:v>
                </c:pt>
                <c:pt idx="282">
                  <c:v>48009.709150260082</c:v>
                </c:pt>
                <c:pt idx="283">
                  <c:v>-18759.700523993641</c:v>
                </c:pt>
                <c:pt idx="284">
                  <c:v>-32259.333672619658</c:v>
                </c:pt>
                <c:pt idx="285">
                  <c:v>-4672.8957497277297</c:v>
                </c:pt>
                <c:pt idx="286">
                  <c:v>8787.2117596552707</c:v>
                </c:pt>
                <c:pt idx="287">
                  <c:v>-35142.503967028228</c:v>
                </c:pt>
                <c:pt idx="288">
                  <c:v>-15051.601509919623</c:v>
                </c:pt>
                <c:pt idx="289">
                  <c:v>-22825.745456776116</c:v>
                </c:pt>
                <c:pt idx="290">
                  <c:v>68774.858669982408</c:v>
                </c:pt>
                <c:pt idx="291">
                  <c:v>-1436.6848989963764</c:v>
                </c:pt>
                <c:pt idx="292">
                  <c:v>-47793.572075212956</c:v>
                </c:pt>
                <c:pt idx="293">
                  <c:v>4212.1285358224995</c:v>
                </c:pt>
                <c:pt idx="294">
                  <c:v>-6133.8746401900426</c:v>
                </c:pt>
                <c:pt idx="295">
                  <c:v>-799.71863514737925</c:v>
                </c:pt>
                <c:pt idx="296">
                  <c:v>-4181.0841077562654</c:v>
                </c:pt>
                <c:pt idx="297">
                  <c:v>96270.76779247995</c:v>
                </c:pt>
                <c:pt idx="298">
                  <c:v>-22496.303821725189</c:v>
                </c:pt>
                <c:pt idx="299">
                  <c:v>-79524.395955139771</c:v>
                </c:pt>
                <c:pt idx="300">
                  <c:v>-11161.587083385559</c:v>
                </c:pt>
                <c:pt idx="301">
                  <c:v>-14283.933424172457</c:v>
                </c:pt>
                <c:pt idx="302">
                  <c:v>1238.8354464733275</c:v>
                </c:pt>
                <c:pt idx="303">
                  <c:v>82810.744723305805</c:v>
                </c:pt>
                <c:pt idx="304">
                  <c:v>58099.140107549494</c:v>
                </c:pt>
                <c:pt idx="305">
                  <c:v>-109011.64818553219</c:v>
                </c:pt>
                <c:pt idx="306">
                  <c:v>37068.107775875484</c:v>
                </c:pt>
                <c:pt idx="307">
                  <c:v>-30252.584166878019</c:v>
                </c:pt>
                <c:pt idx="308">
                  <c:v>-10501.380426026997</c:v>
                </c:pt>
                <c:pt idx="309">
                  <c:v>-57283.974379246705</c:v>
                </c:pt>
                <c:pt idx="310">
                  <c:v>-9043.1605746934656</c:v>
                </c:pt>
                <c:pt idx="311">
                  <c:v>30567.014507002896</c:v>
                </c:pt>
                <c:pt idx="312">
                  <c:v>2942.4581866859226</c:v>
                </c:pt>
                <c:pt idx="313">
                  <c:v>-20484.278121933225</c:v>
                </c:pt>
                <c:pt idx="314">
                  <c:v>43694.416815164499</c:v>
                </c:pt>
                <c:pt idx="315">
                  <c:v>39890.897755862214</c:v>
                </c:pt>
                <c:pt idx="316">
                  <c:v>-44997.595803038217</c:v>
                </c:pt>
                <c:pt idx="317">
                  <c:v>-11137.38290306821</c:v>
                </c:pt>
                <c:pt idx="318">
                  <c:v>-12564.759253064869</c:v>
                </c:pt>
                <c:pt idx="319">
                  <c:v>-54568.032199176028</c:v>
                </c:pt>
              </c:numCache>
            </c:numRef>
          </c:yVal>
          <c:smooth val="0"/>
          <c:extLst>
            <c:ext xmlns:c16="http://schemas.microsoft.com/office/drawing/2014/chart" uri="{C3380CC4-5D6E-409C-BE32-E72D297353CC}">
              <c16:uniqueId val="{00000000-D69E-4483-BE37-C4D15C5B0118}"/>
            </c:ext>
          </c:extLst>
        </c:ser>
        <c:dLbls>
          <c:showLegendKey val="0"/>
          <c:showVal val="0"/>
          <c:showCatName val="0"/>
          <c:showSerName val="0"/>
          <c:showPercent val="0"/>
          <c:showBubbleSize val="0"/>
        </c:dLbls>
        <c:axId val="399676016"/>
        <c:axId val="399677656"/>
      </c:scatterChart>
      <c:valAx>
        <c:axId val="399676016"/>
        <c:scaling>
          <c:orientation val="minMax"/>
        </c:scaling>
        <c:delete val="0"/>
        <c:axPos val="b"/>
        <c:title>
          <c:tx>
            <c:rich>
              <a:bodyPr/>
              <a:lstStyle/>
              <a:p>
                <a:pPr>
                  <a:defRPr/>
                </a:pPr>
                <a:r>
                  <a:rPr lang="en-IN"/>
                  <a:t>marketing_spend</a:t>
                </a:r>
              </a:p>
            </c:rich>
          </c:tx>
          <c:overlay val="0"/>
        </c:title>
        <c:numFmt formatCode="General" sourceLinked="1"/>
        <c:majorTickMark val="out"/>
        <c:minorTickMark val="none"/>
        <c:tickLblPos val="nextTo"/>
        <c:crossAx val="399677656"/>
        <c:crosses val="autoZero"/>
        <c:crossBetween val="midCat"/>
      </c:valAx>
      <c:valAx>
        <c:axId val="399677656"/>
        <c:scaling>
          <c:orientation val="minMax"/>
        </c:scaling>
        <c:delete val="0"/>
        <c:axPos val="l"/>
        <c:title>
          <c:tx>
            <c:rich>
              <a:bodyPr/>
              <a:lstStyle/>
              <a:p>
                <a:pPr>
                  <a:defRPr/>
                </a:pPr>
                <a:r>
                  <a:rPr lang="en-IN"/>
                  <a:t>Residuals</a:t>
                </a:r>
              </a:p>
            </c:rich>
          </c:tx>
          <c:overlay val="0"/>
        </c:title>
        <c:numFmt formatCode="General" sourceLinked="1"/>
        <c:majorTickMark val="out"/>
        <c:minorTickMark val="none"/>
        <c:tickLblPos val="nextTo"/>
        <c:crossAx val="399676016"/>
        <c:crosses val="autoZero"/>
        <c:crossBetween val="midCat"/>
      </c:valAx>
    </c:plotArea>
    <c:plotVisOnly val="1"/>
    <c:dispBlanksAs val="gap"/>
    <c:extLst>
      <c:ext xmlns:c16r3="http://schemas.microsoft.com/office/drawing/2017/03/chart" uri="{56B9EC1D-385E-4148-901F-78D8002777C0}">
        <c16r3:dataDisplayOptions16>
          <c16r3:dispNaAsBlank val="1"/>
        </c16r3:dataDisplayOptions16>
      </c:ext>
    </c:extLst>
    <c:showDLblsOverMax val="0"/>
  </c:chart>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a:pPr>
            <a:r>
              <a:rPr lang="en-IN"/>
              <a:t>footfall  Residual Plot</a:t>
            </a:r>
          </a:p>
        </c:rich>
      </c:tx>
      <c:overlay val="0"/>
    </c:title>
    <c:autoTitleDeleted val="0"/>
    <c:plotArea>
      <c:layout/>
      <c:scatterChart>
        <c:scatterStyle val="lineMarker"/>
        <c:varyColors val="0"/>
        <c:ser>
          <c:idx val="0"/>
          <c:order val="0"/>
          <c:spPr>
            <a:ln w="38100">
              <a:noFill/>
            </a:ln>
          </c:spPr>
          <c:xVal>
            <c:numRef>
              <c:f>store_performance!$I$2:$I$321</c:f>
              <c:numCache>
                <c:formatCode>General</c:formatCode>
                <c:ptCount val="320"/>
                <c:pt idx="0">
                  <c:v>8302</c:v>
                </c:pt>
                <c:pt idx="1">
                  <c:v>8487</c:v>
                </c:pt>
                <c:pt idx="2">
                  <c:v>9113</c:v>
                </c:pt>
                <c:pt idx="3">
                  <c:v>9431</c:v>
                </c:pt>
                <c:pt idx="4">
                  <c:v>9545</c:v>
                </c:pt>
                <c:pt idx="5">
                  <c:v>9792</c:v>
                </c:pt>
                <c:pt idx="6">
                  <c:v>10616</c:v>
                </c:pt>
                <c:pt idx="7">
                  <c:v>8567</c:v>
                </c:pt>
                <c:pt idx="8">
                  <c:v>10979</c:v>
                </c:pt>
                <c:pt idx="9">
                  <c:v>9459</c:v>
                </c:pt>
                <c:pt idx="10">
                  <c:v>9172</c:v>
                </c:pt>
                <c:pt idx="11">
                  <c:v>11230</c:v>
                </c:pt>
                <c:pt idx="12">
                  <c:v>12775</c:v>
                </c:pt>
                <c:pt idx="13">
                  <c:v>10054</c:v>
                </c:pt>
                <c:pt idx="14">
                  <c:v>8895</c:v>
                </c:pt>
                <c:pt idx="15">
                  <c:v>10940</c:v>
                </c:pt>
                <c:pt idx="16">
                  <c:v>7057</c:v>
                </c:pt>
                <c:pt idx="17">
                  <c:v>4263</c:v>
                </c:pt>
                <c:pt idx="18">
                  <c:v>5538</c:v>
                </c:pt>
                <c:pt idx="19">
                  <c:v>4865</c:v>
                </c:pt>
                <c:pt idx="20">
                  <c:v>2822</c:v>
                </c:pt>
                <c:pt idx="21">
                  <c:v>2121</c:v>
                </c:pt>
                <c:pt idx="22">
                  <c:v>3364</c:v>
                </c:pt>
                <c:pt idx="23">
                  <c:v>2613</c:v>
                </c:pt>
                <c:pt idx="24">
                  <c:v>10218</c:v>
                </c:pt>
                <c:pt idx="25">
                  <c:v>8927</c:v>
                </c:pt>
                <c:pt idx="26">
                  <c:v>9315</c:v>
                </c:pt>
                <c:pt idx="27">
                  <c:v>7223</c:v>
                </c:pt>
                <c:pt idx="28">
                  <c:v>3988</c:v>
                </c:pt>
                <c:pt idx="29">
                  <c:v>2390</c:v>
                </c:pt>
                <c:pt idx="30">
                  <c:v>2471</c:v>
                </c:pt>
                <c:pt idx="31">
                  <c:v>971</c:v>
                </c:pt>
                <c:pt idx="32">
                  <c:v>9429</c:v>
                </c:pt>
                <c:pt idx="33">
                  <c:v>11695</c:v>
                </c:pt>
                <c:pt idx="34">
                  <c:v>9449</c:v>
                </c:pt>
                <c:pt idx="35">
                  <c:v>10453</c:v>
                </c:pt>
                <c:pt idx="36">
                  <c:v>8838</c:v>
                </c:pt>
                <c:pt idx="37">
                  <c:v>8156</c:v>
                </c:pt>
                <c:pt idx="38">
                  <c:v>7562</c:v>
                </c:pt>
                <c:pt idx="39">
                  <c:v>9598</c:v>
                </c:pt>
                <c:pt idx="40">
                  <c:v>3660</c:v>
                </c:pt>
                <c:pt idx="41">
                  <c:v>3227</c:v>
                </c:pt>
                <c:pt idx="42">
                  <c:v>3360</c:v>
                </c:pt>
                <c:pt idx="43">
                  <c:v>3642</c:v>
                </c:pt>
                <c:pt idx="44">
                  <c:v>5145</c:v>
                </c:pt>
                <c:pt idx="45">
                  <c:v>4460</c:v>
                </c:pt>
                <c:pt idx="46">
                  <c:v>3804</c:v>
                </c:pt>
                <c:pt idx="47">
                  <c:v>4074</c:v>
                </c:pt>
                <c:pt idx="48">
                  <c:v>5104</c:v>
                </c:pt>
                <c:pt idx="49">
                  <c:v>5559</c:v>
                </c:pt>
                <c:pt idx="50">
                  <c:v>5150</c:v>
                </c:pt>
                <c:pt idx="51">
                  <c:v>7189</c:v>
                </c:pt>
                <c:pt idx="52">
                  <c:v>3279</c:v>
                </c:pt>
                <c:pt idx="53">
                  <c:v>5887</c:v>
                </c:pt>
                <c:pt idx="54">
                  <c:v>5516</c:v>
                </c:pt>
                <c:pt idx="55">
                  <c:v>2863</c:v>
                </c:pt>
                <c:pt idx="56">
                  <c:v>2378</c:v>
                </c:pt>
                <c:pt idx="57">
                  <c:v>2515</c:v>
                </c:pt>
                <c:pt idx="58">
                  <c:v>4022</c:v>
                </c:pt>
                <c:pt idx="59">
                  <c:v>4377</c:v>
                </c:pt>
                <c:pt idx="60">
                  <c:v>5306</c:v>
                </c:pt>
                <c:pt idx="61">
                  <c:v>3928</c:v>
                </c:pt>
                <c:pt idx="62">
                  <c:v>3845</c:v>
                </c:pt>
                <c:pt idx="63">
                  <c:v>6620</c:v>
                </c:pt>
                <c:pt idx="64">
                  <c:v>9175</c:v>
                </c:pt>
                <c:pt idx="65">
                  <c:v>7940</c:v>
                </c:pt>
                <c:pt idx="66">
                  <c:v>9628</c:v>
                </c:pt>
                <c:pt idx="67">
                  <c:v>8296</c:v>
                </c:pt>
                <c:pt idx="68">
                  <c:v>3595</c:v>
                </c:pt>
                <c:pt idx="69">
                  <c:v>2834</c:v>
                </c:pt>
                <c:pt idx="70">
                  <c:v>3193</c:v>
                </c:pt>
                <c:pt idx="71">
                  <c:v>5485</c:v>
                </c:pt>
                <c:pt idx="72">
                  <c:v>5918</c:v>
                </c:pt>
                <c:pt idx="73">
                  <c:v>6821</c:v>
                </c:pt>
                <c:pt idx="74">
                  <c:v>6806</c:v>
                </c:pt>
                <c:pt idx="75">
                  <c:v>8252</c:v>
                </c:pt>
                <c:pt idx="76">
                  <c:v>6662</c:v>
                </c:pt>
                <c:pt idx="77">
                  <c:v>5962</c:v>
                </c:pt>
                <c:pt idx="78">
                  <c:v>7470</c:v>
                </c:pt>
                <c:pt idx="79">
                  <c:v>5974</c:v>
                </c:pt>
                <c:pt idx="80">
                  <c:v>5410</c:v>
                </c:pt>
                <c:pt idx="81">
                  <c:v>4451</c:v>
                </c:pt>
                <c:pt idx="82">
                  <c:v>4644</c:v>
                </c:pt>
                <c:pt idx="83">
                  <c:v>3559</c:v>
                </c:pt>
                <c:pt idx="84">
                  <c:v>3091</c:v>
                </c:pt>
                <c:pt idx="85">
                  <c:v>4004</c:v>
                </c:pt>
                <c:pt idx="86">
                  <c:v>3788</c:v>
                </c:pt>
                <c:pt idx="87">
                  <c:v>1260</c:v>
                </c:pt>
                <c:pt idx="88">
                  <c:v>7024</c:v>
                </c:pt>
                <c:pt idx="89">
                  <c:v>5400</c:v>
                </c:pt>
                <c:pt idx="90">
                  <c:v>5988</c:v>
                </c:pt>
                <c:pt idx="91">
                  <c:v>3701</c:v>
                </c:pt>
                <c:pt idx="92">
                  <c:v>4509</c:v>
                </c:pt>
                <c:pt idx="93">
                  <c:v>6477</c:v>
                </c:pt>
                <c:pt idx="94">
                  <c:v>7970</c:v>
                </c:pt>
                <c:pt idx="95">
                  <c:v>6057</c:v>
                </c:pt>
                <c:pt idx="96">
                  <c:v>6394</c:v>
                </c:pt>
                <c:pt idx="97">
                  <c:v>5150</c:v>
                </c:pt>
                <c:pt idx="98">
                  <c:v>4712</c:v>
                </c:pt>
                <c:pt idx="99">
                  <c:v>5281</c:v>
                </c:pt>
                <c:pt idx="100">
                  <c:v>3642</c:v>
                </c:pt>
                <c:pt idx="101">
                  <c:v>4373</c:v>
                </c:pt>
                <c:pt idx="102">
                  <c:v>6832</c:v>
                </c:pt>
                <c:pt idx="103">
                  <c:v>2414</c:v>
                </c:pt>
                <c:pt idx="104">
                  <c:v>7374</c:v>
                </c:pt>
                <c:pt idx="105">
                  <c:v>8739</c:v>
                </c:pt>
                <c:pt idx="106">
                  <c:v>6992</c:v>
                </c:pt>
                <c:pt idx="107">
                  <c:v>7107</c:v>
                </c:pt>
                <c:pt idx="108">
                  <c:v>6975</c:v>
                </c:pt>
                <c:pt idx="109">
                  <c:v>5493</c:v>
                </c:pt>
                <c:pt idx="110">
                  <c:v>5686</c:v>
                </c:pt>
                <c:pt idx="111">
                  <c:v>4063</c:v>
                </c:pt>
                <c:pt idx="112">
                  <c:v>8966</c:v>
                </c:pt>
                <c:pt idx="113">
                  <c:v>9489</c:v>
                </c:pt>
                <c:pt idx="114">
                  <c:v>9225</c:v>
                </c:pt>
                <c:pt idx="115">
                  <c:v>9249</c:v>
                </c:pt>
                <c:pt idx="116">
                  <c:v>7821</c:v>
                </c:pt>
                <c:pt idx="117">
                  <c:v>8434</c:v>
                </c:pt>
                <c:pt idx="118">
                  <c:v>8512</c:v>
                </c:pt>
                <c:pt idx="119">
                  <c:v>7816</c:v>
                </c:pt>
                <c:pt idx="120">
                  <c:v>3853</c:v>
                </c:pt>
                <c:pt idx="121">
                  <c:v>3694</c:v>
                </c:pt>
                <c:pt idx="122">
                  <c:v>4423</c:v>
                </c:pt>
                <c:pt idx="123">
                  <c:v>1906</c:v>
                </c:pt>
                <c:pt idx="124">
                  <c:v>10396</c:v>
                </c:pt>
                <c:pt idx="125">
                  <c:v>11076</c:v>
                </c:pt>
                <c:pt idx="126">
                  <c:v>9574</c:v>
                </c:pt>
                <c:pt idx="127">
                  <c:v>8221</c:v>
                </c:pt>
                <c:pt idx="128">
                  <c:v>10618</c:v>
                </c:pt>
                <c:pt idx="129">
                  <c:v>10596</c:v>
                </c:pt>
                <c:pt idx="130">
                  <c:v>9619</c:v>
                </c:pt>
                <c:pt idx="131">
                  <c:v>10836</c:v>
                </c:pt>
                <c:pt idx="132">
                  <c:v>3043</c:v>
                </c:pt>
                <c:pt idx="133">
                  <c:v>1814</c:v>
                </c:pt>
                <c:pt idx="134">
                  <c:v>3618</c:v>
                </c:pt>
                <c:pt idx="135">
                  <c:v>1963</c:v>
                </c:pt>
                <c:pt idx="136">
                  <c:v>7888</c:v>
                </c:pt>
                <c:pt idx="137">
                  <c:v>6244</c:v>
                </c:pt>
                <c:pt idx="138">
                  <c:v>6544</c:v>
                </c:pt>
                <c:pt idx="139">
                  <c:v>5465</c:v>
                </c:pt>
                <c:pt idx="140">
                  <c:v>6427</c:v>
                </c:pt>
                <c:pt idx="141">
                  <c:v>6704</c:v>
                </c:pt>
                <c:pt idx="142">
                  <c:v>5645</c:v>
                </c:pt>
                <c:pt idx="143">
                  <c:v>6089</c:v>
                </c:pt>
                <c:pt idx="144">
                  <c:v>4312</c:v>
                </c:pt>
                <c:pt idx="145">
                  <c:v>3152</c:v>
                </c:pt>
                <c:pt idx="146">
                  <c:v>4259</c:v>
                </c:pt>
                <c:pt idx="147">
                  <c:v>3350</c:v>
                </c:pt>
                <c:pt idx="148">
                  <c:v>5329</c:v>
                </c:pt>
                <c:pt idx="149">
                  <c:v>6551</c:v>
                </c:pt>
                <c:pt idx="150">
                  <c:v>5550</c:v>
                </c:pt>
                <c:pt idx="151">
                  <c:v>5911</c:v>
                </c:pt>
                <c:pt idx="152">
                  <c:v>9674</c:v>
                </c:pt>
                <c:pt idx="153">
                  <c:v>6740</c:v>
                </c:pt>
                <c:pt idx="154">
                  <c:v>7745</c:v>
                </c:pt>
                <c:pt idx="155">
                  <c:v>7693</c:v>
                </c:pt>
                <c:pt idx="156">
                  <c:v>6424</c:v>
                </c:pt>
                <c:pt idx="157">
                  <c:v>5400</c:v>
                </c:pt>
                <c:pt idx="158">
                  <c:v>7015</c:v>
                </c:pt>
                <c:pt idx="159">
                  <c:v>3847</c:v>
                </c:pt>
                <c:pt idx="160">
                  <c:v>7455</c:v>
                </c:pt>
                <c:pt idx="161">
                  <c:v>6992</c:v>
                </c:pt>
                <c:pt idx="162">
                  <c:v>8038</c:v>
                </c:pt>
                <c:pt idx="163">
                  <c:v>6055</c:v>
                </c:pt>
                <c:pt idx="164">
                  <c:v>9323</c:v>
                </c:pt>
                <c:pt idx="165">
                  <c:v>8789</c:v>
                </c:pt>
                <c:pt idx="166">
                  <c:v>6939</c:v>
                </c:pt>
                <c:pt idx="167">
                  <c:v>9440</c:v>
                </c:pt>
                <c:pt idx="168">
                  <c:v>9374</c:v>
                </c:pt>
                <c:pt idx="169">
                  <c:v>7576</c:v>
                </c:pt>
                <c:pt idx="170">
                  <c:v>8949</c:v>
                </c:pt>
                <c:pt idx="171">
                  <c:v>7671</c:v>
                </c:pt>
                <c:pt idx="172">
                  <c:v>8741</c:v>
                </c:pt>
                <c:pt idx="173">
                  <c:v>9480</c:v>
                </c:pt>
                <c:pt idx="174">
                  <c:v>9826</c:v>
                </c:pt>
                <c:pt idx="175">
                  <c:v>10402</c:v>
                </c:pt>
                <c:pt idx="176">
                  <c:v>12361</c:v>
                </c:pt>
                <c:pt idx="177">
                  <c:v>7925</c:v>
                </c:pt>
                <c:pt idx="178">
                  <c:v>8870</c:v>
                </c:pt>
                <c:pt idx="179">
                  <c:v>9999</c:v>
                </c:pt>
                <c:pt idx="180">
                  <c:v>11154</c:v>
                </c:pt>
                <c:pt idx="181">
                  <c:v>9287</c:v>
                </c:pt>
                <c:pt idx="182">
                  <c:v>9812</c:v>
                </c:pt>
                <c:pt idx="183">
                  <c:v>10741</c:v>
                </c:pt>
                <c:pt idx="184">
                  <c:v>6084</c:v>
                </c:pt>
                <c:pt idx="185">
                  <c:v>5252</c:v>
                </c:pt>
                <c:pt idx="186">
                  <c:v>6516</c:v>
                </c:pt>
                <c:pt idx="187">
                  <c:v>7932</c:v>
                </c:pt>
                <c:pt idx="188">
                  <c:v>3506</c:v>
                </c:pt>
                <c:pt idx="189">
                  <c:v>2312</c:v>
                </c:pt>
                <c:pt idx="190">
                  <c:v>1268</c:v>
                </c:pt>
                <c:pt idx="191">
                  <c:v>4423</c:v>
                </c:pt>
                <c:pt idx="192">
                  <c:v>6177</c:v>
                </c:pt>
                <c:pt idx="193">
                  <c:v>5150</c:v>
                </c:pt>
                <c:pt idx="194">
                  <c:v>3783</c:v>
                </c:pt>
                <c:pt idx="195">
                  <c:v>3135</c:v>
                </c:pt>
                <c:pt idx="196">
                  <c:v>4970</c:v>
                </c:pt>
                <c:pt idx="197">
                  <c:v>4366</c:v>
                </c:pt>
                <c:pt idx="198">
                  <c:v>5012</c:v>
                </c:pt>
                <c:pt idx="199">
                  <c:v>5575</c:v>
                </c:pt>
                <c:pt idx="200">
                  <c:v>5955</c:v>
                </c:pt>
                <c:pt idx="201">
                  <c:v>6389</c:v>
                </c:pt>
                <c:pt idx="202">
                  <c:v>6896</c:v>
                </c:pt>
                <c:pt idx="203">
                  <c:v>6015</c:v>
                </c:pt>
                <c:pt idx="204">
                  <c:v>9476</c:v>
                </c:pt>
                <c:pt idx="205">
                  <c:v>7875</c:v>
                </c:pt>
                <c:pt idx="206">
                  <c:v>9283</c:v>
                </c:pt>
                <c:pt idx="207">
                  <c:v>8303</c:v>
                </c:pt>
                <c:pt idx="208">
                  <c:v>10125</c:v>
                </c:pt>
                <c:pt idx="209">
                  <c:v>9458</c:v>
                </c:pt>
                <c:pt idx="210">
                  <c:v>12870</c:v>
                </c:pt>
                <c:pt idx="211">
                  <c:v>9752</c:v>
                </c:pt>
                <c:pt idx="212">
                  <c:v>9505</c:v>
                </c:pt>
                <c:pt idx="213">
                  <c:v>9412</c:v>
                </c:pt>
                <c:pt idx="214">
                  <c:v>9644</c:v>
                </c:pt>
                <c:pt idx="215">
                  <c:v>11224</c:v>
                </c:pt>
                <c:pt idx="216">
                  <c:v>5394</c:v>
                </c:pt>
                <c:pt idx="217">
                  <c:v>5014</c:v>
                </c:pt>
                <c:pt idx="218">
                  <c:v>4467</c:v>
                </c:pt>
                <c:pt idx="219">
                  <c:v>4678</c:v>
                </c:pt>
                <c:pt idx="220">
                  <c:v>7291</c:v>
                </c:pt>
                <c:pt idx="221">
                  <c:v>7404</c:v>
                </c:pt>
                <c:pt idx="222">
                  <c:v>7880</c:v>
                </c:pt>
                <c:pt idx="223">
                  <c:v>8773</c:v>
                </c:pt>
                <c:pt idx="224">
                  <c:v>4713</c:v>
                </c:pt>
                <c:pt idx="225">
                  <c:v>2842</c:v>
                </c:pt>
                <c:pt idx="226">
                  <c:v>3872</c:v>
                </c:pt>
                <c:pt idx="227">
                  <c:v>1375</c:v>
                </c:pt>
                <c:pt idx="228">
                  <c:v>5957</c:v>
                </c:pt>
                <c:pt idx="229">
                  <c:v>8961</c:v>
                </c:pt>
                <c:pt idx="230">
                  <c:v>6545</c:v>
                </c:pt>
                <c:pt idx="231">
                  <c:v>5457</c:v>
                </c:pt>
                <c:pt idx="232">
                  <c:v>4264</c:v>
                </c:pt>
                <c:pt idx="233">
                  <c:v>5321</c:v>
                </c:pt>
                <c:pt idx="234">
                  <c:v>5479</c:v>
                </c:pt>
                <c:pt idx="235">
                  <c:v>6169</c:v>
                </c:pt>
                <c:pt idx="236">
                  <c:v>9908</c:v>
                </c:pt>
                <c:pt idx="237">
                  <c:v>9996</c:v>
                </c:pt>
                <c:pt idx="238">
                  <c:v>9702</c:v>
                </c:pt>
                <c:pt idx="239">
                  <c:v>9314</c:v>
                </c:pt>
                <c:pt idx="240">
                  <c:v>8055</c:v>
                </c:pt>
                <c:pt idx="241">
                  <c:v>5648</c:v>
                </c:pt>
                <c:pt idx="242">
                  <c:v>10076</c:v>
                </c:pt>
                <c:pt idx="243">
                  <c:v>8004</c:v>
                </c:pt>
                <c:pt idx="244">
                  <c:v>8934</c:v>
                </c:pt>
                <c:pt idx="245">
                  <c:v>8733</c:v>
                </c:pt>
                <c:pt idx="246">
                  <c:v>7374</c:v>
                </c:pt>
                <c:pt idx="247">
                  <c:v>8119</c:v>
                </c:pt>
                <c:pt idx="248">
                  <c:v>3875</c:v>
                </c:pt>
                <c:pt idx="249">
                  <c:v>5765</c:v>
                </c:pt>
                <c:pt idx="250">
                  <c:v>6322</c:v>
                </c:pt>
                <c:pt idx="251">
                  <c:v>6840</c:v>
                </c:pt>
                <c:pt idx="252">
                  <c:v>6782</c:v>
                </c:pt>
                <c:pt idx="253">
                  <c:v>6856</c:v>
                </c:pt>
                <c:pt idx="254">
                  <c:v>5641</c:v>
                </c:pt>
                <c:pt idx="255">
                  <c:v>5787</c:v>
                </c:pt>
                <c:pt idx="256">
                  <c:v>8165</c:v>
                </c:pt>
                <c:pt idx="257">
                  <c:v>7574</c:v>
                </c:pt>
                <c:pt idx="258">
                  <c:v>8634</c:v>
                </c:pt>
                <c:pt idx="259">
                  <c:v>7836</c:v>
                </c:pt>
                <c:pt idx="260">
                  <c:v>3047</c:v>
                </c:pt>
                <c:pt idx="261">
                  <c:v>4783</c:v>
                </c:pt>
                <c:pt idx="262">
                  <c:v>4902</c:v>
                </c:pt>
                <c:pt idx="263">
                  <c:v>4022</c:v>
                </c:pt>
                <c:pt idx="264">
                  <c:v>7324</c:v>
                </c:pt>
                <c:pt idx="265">
                  <c:v>8129</c:v>
                </c:pt>
                <c:pt idx="266">
                  <c:v>7969</c:v>
                </c:pt>
                <c:pt idx="267">
                  <c:v>7240</c:v>
                </c:pt>
                <c:pt idx="268">
                  <c:v>8052</c:v>
                </c:pt>
                <c:pt idx="269">
                  <c:v>8018</c:v>
                </c:pt>
                <c:pt idx="270">
                  <c:v>10192</c:v>
                </c:pt>
                <c:pt idx="271">
                  <c:v>7446</c:v>
                </c:pt>
                <c:pt idx="272">
                  <c:v>5689</c:v>
                </c:pt>
                <c:pt idx="273">
                  <c:v>3326</c:v>
                </c:pt>
                <c:pt idx="274">
                  <c:v>5767</c:v>
                </c:pt>
                <c:pt idx="275">
                  <c:v>5893</c:v>
                </c:pt>
                <c:pt idx="276">
                  <c:v>8564</c:v>
                </c:pt>
                <c:pt idx="277">
                  <c:v>8001</c:v>
                </c:pt>
                <c:pt idx="278">
                  <c:v>9324</c:v>
                </c:pt>
                <c:pt idx="279">
                  <c:v>9109</c:v>
                </c:pt>
                <c:pt idx="280">
                  <c:v>4022</c:v>
                </c:pt>
                <c:pt idx="281">
                  <c:v>4355</c:v>
                </c:pt>
                <c:pt idx="282">
                  <c:v>5745</c:v>
                </c:pt>
                <c:pt idx="283">
                  <c:v>3027</c:v>
                </c:pt>
                <c:pt idx="284">
                  <c:v>5562</c:v>
                </c:pt>
                <c:pt idx="285">
                  <c:v>4487</c:v>
                </c:pt>
                <c:pt idx="286">
                  <c:v>4162</c:v>
                </c:pt>
                <c:pt idx="287">
                  <c:v>4094</c:v>
                </c:pt>
                <c:pt idx="288">
                  <c:v>8484</c:v>
                </c:pt>
                <c:pt idx="289">
                  <c:v>7794</c:v>
                </c:pt>
                <c:pt idx="290">
                  <c:v>8300</c:v>
                </c:pt>
                <c:pt idx="291">
                  <c:v>7083</c:v>
                </c:pt>
                <c:pt idx="292">
                  <c:v>3834</c:v>
                </c:pt>
                <c:pt idx="293">
                  <c:v>2358</c:v>
                </c:pt>
                <c:pt idx="294">
                  <c:v>1231</c:v>
                </c:pt>
                <c:pt idx="295">
                  <c:v>1723</c:v>
                </c:pt>
                <c:pt idx="296">
                  <c:v>5896</c:v>
                </c:pt>
                <c:pt idx="297">
                  <c:v>5903</c:v>
                </c:pt>
                <c:pt idx="298">
                  <c:v>4898</c:v>
                </c:pt>
                <c:pt idx="299">
                  <c:v>1462</c:v>
                </c:pt>
                <c:pt idx="300">
                  <c:v>8252</c:v>
                </c:pt>
                <c:pt idx="301">
                  <c:v>7989</c:v>
                </c:pt>
                <c:pt idx="302">
                  <c:v>8268</c:v>
                </c:pt>
                <c:pt idx="303">
                  <c:v>8183</c:v>
                </c:pt>
                <c:pt idx="304">
                  <c:v>6534</c:v>
                </c:pt>
                <c:pt idx="305">
                  <c:v>5804</c:v>
                </c:pt>
                <c:pt idx="306">
                  <c:v>6301</c:v>
                </c:pt>
                <c:pt idx="307">
                  <c:v>6399</c:v>
                </c:pt>
                <c:pt idx="308">
                  <c:v>5759</c:v>
                </c:pt>
                <c:pt idx="309">
                  <c:v>5285</c:v>
                </c:pt>
                <c:pt idx="310">
                  <c:v>5434</c:v>
                </c:pt>
                <c:pt idx="311">
                  <c:v>7479</c:v>
                </c:pt>
                <c:pt idx="312">
                  <c:v>6164</c:v>
                </c:pt>
                <c:pt idx="313">
                  <c:v>7973</c:v>
                </c:pt>
                <c:pt idx="314">
                  <c:v>6000</c:v>
                </c:pt>
                <c:pt idx="315">
                  <c:v>9967</c:v>
                </c:pt>
                <c:pt idx="316">
                  <c:v>5639</c:v>
                </c:pt>
                <c:pt idx="317">
                  <c:v>3466</c:v>
                </c:pt>
                <c:pt idx="318">
                  <c:v>7775</c:v>
                </c:pt>
                <c:pt idx="319">
                  <c:v>5317</c:v>
                </c:pt>
              </c:numCache>
            </c:numRef>
          </c:xVal>
          <c:yVal>
            <c:numRef>
              <c:f>'Multiple Regression'!$C$28:$C$347</c:f>
              <c:numCache>
                <c:formatCode>General</c:formatCode>
                <c:ptCount val="320"/>
                <c:pt idx="0">
                  <c:v>-100420.62684002204</c:v>
                </c:pt>
                <c:pt idx="1">
                  <c:v>-89652.887418913539</c:v>
                </c:pt>
                <c:pt idx="2">
                  <c:v>-87785.883133220486</c:v>
                </c:pt>
                <c:pt idx="3">
                  <c:v>-113977.41900166171</c:v>
                </c:pt>
                <c:pt idx="4">
                  <c:v>-17895.154641028377</c:v>
                </c:pt>
                <c:pt idx="5">
                  <c:v>-34884.97007738275</c:v>
                </c:pt>
                <c:pt idx="6">
                  <c:v>4279.6720102805411</c:v>
                </c:pt>
                <c:pt idx="7">
                  <c:v>92092.816952184774</c:v>
                </c:pt>
                <c:pt idx="8">
                  <c:v>95147.280791831086</c:v>
                </c:pt>
                <c:pt idx="9">
                  <c:v>-747.01342221722007</c:v>
                </c:pt>
                <c:pt idx="10">
                  <c:v>-9179.3333604729269</c:v>
                </c:pt>
                <c:pt idx="11">
                  <c:v>52459.205559065216</c:v>
                </c:pt>
                <c:pt idx="12">
                  <c:v>17696.363287678687</c:v>
                </c:pt>
                <c:pt idx="13">
                  <c:v>-65551.453624979476</c:v>
                </c:pt>
                <c:pt idx="14">
                  <c:v>-4262.5472104754299</c:v>
                </c:pt>
                <c:pt idx="15">
                  <c:v>-22561.315595235559</c:v>
                </c:pt>
                <c:pt idx="16">
                  <c:v>-30034.999787871726</c:v>
                </c:pt>
                <c:pt idx="17">
                  <c:v>-30888.896363610402</c:v>
                </c:pt>
                <c:pt idx="18">
                  <c:v>-13229.856280150358</c:v>
                </c:pt>
                <c:pt idx="19">
                  <c:v>-9068.6514413498808</c:v>
                </c:pt>
                <c:pt idx="20">
                  <c:v>-97318.287440096785</c:v>
                </c:pt>
                <c:pt idx="21">
                  <c:v>-6074.5612942008884</c:v>
                </c:pt>
                <c:pt idx="22">
                  <c:v>4859.6868681036867</c:v>
                </c:pt>
                <c:pt idx="23">
                  <c:v>22391.867634382681</c:v>
                </c:pt>
                <c:pt idx="24">
                  <c:v>-794.35043710807804</c:v>
                </c:pt>
                <c:pt idx="25">
                  <c:v>-97599.295824801433</c:v>
                </c:pt>
                <c:pt idx="26">
                  <c:v>8427.1855978944805</c:v>
                </c:pt>
                <c:pt idx="27">
                  <c:v>-4641.4888685437618</c:v>
                </c:pt>
                <c:pt idx="28">
                  <c:v>-93313.799461466202</c:v>
                </c:pt>
                <c:pt idx="29">
                  <c:v>179.74964938976336</c:v>
                </c:pt>
                <c:pt idx="30">
                  <c:v>-26123.300982835004</c:v>
                </c:pt>
                <c:pt idx="31">
                  <c:v>-73462.144224243064</c:v>
                </c:pt>
                <c:pt idx="32">
                  <c:v>-124322.23204522603</c:v>
                </c:pt>
                <c:pt idx="33">
                  <c:v>-75029.317425237619</c:v>
                </c:pt>
                <c:pt idx="34">
                  <c:v>-3644.0343461587327</c:v>
                </c:pt>
                <c:pt idx="35">
                  <c:v>8052.1281186901033</c:v>
                </c:pt>
                <c:pt idx="36">
                  <c:v>42225.781117661973</c:v>
                </c:pt>
                <c:pt idx="37">
                  <c:v>-15524.762027428718</c:v>
                </c:pt>
                <c:pt idx="38">
                  <c:v>-10121.594455058337</c:v>
                </c:pt>
                <c:pt idx="39">
                  <c:v>35795.346234190743</c:v>
                </c:pt>
                <c:pt idx="40">
                  <c:v>38380.134007601766</c:v>
                </c:pt>
                <c:pt idx="41">
                  <c:v>-19719.450929026818</c:v>
                </c:pt>
                <c:pt idx="42">
                  <c:v>74298.945500782807</c:v>
                </c:pt>
                <c:pt idx="43">
                  <c:v>6564.3751155552454</c:v>
                </c:pt>
                <c:pt idx="44">
                  <c:v>-144549.59982507746</c:v>
                </c:pt>
                <c:pt idx="45">
                  <c:v>-16349.862719950033</c:v>
                </c:pt>
                <c:pt idx="46">
                  <c:v>25516.588189551025</c:v>
                </c:pt>
                <c:pt idx="47">
                  <c:v>-217.26740525965579</c:v>
                </c:pt>
                <c:pt idx="48">
                  <c:v>3866.6653514152858</c:v>
                </c:pt>
                <c:pt idx="49">
                  <c:v>-24777.193410099484</c:v>
                </c:pt>
                <c:pt idx="50">
                  <c:v>-5653.5018245971296</c:v>
                </c:pt>
                <c:pt idx="51">
                  <c:v>58403.002128602006</c:v>
                </c:pt>
                <c:pt idx="52">
                  <c:v>-113810.94625542732</c:v>
                </c:pt>
                <c:pt idx="53">
                  <c:v>43988.843817234156</c:v>
                </c:pt>
                <c:pt idx="54">
                  <c:v>38048.77017331461</c:v>
                </c:pt>
                <c:pt idx="55">
                  <c:v>-47862.719327041821</c:v>
                </c:pt>
                <c:pt idx="56">
                  <c:v>11957.694344255025</c:v>
                </c:pt>
                <c:pt idx="57">
                  <c:v>-52486.556184690562</c:v>
                </c:pt>
                <c:pt idx="58">
                  <c:v>-45087.89719693712</c:v>
                </c:pt>
                <c:pt idx="59">
                  <c:v>-49491.180917392252</c:v>
                </c:pt>
                <c:pt idx="60">
                  <c:v>87497.284771312843</c:v>
                </c:pt>
                <c:pt idx="61">
                  <c:v>44018.184945800807</c:v>
                </c:pt>
                <c:pt idx="62">
                  <c:v>-8552.3288417842705</c:v>
                </c:pt>
                <c:pt idx="63">
                  <c:v>54932.249868366285</c:v>
                </c:pt>
                <c:pt idx="64">
                  <c:v>-8336.2901795608923</c:v>
                </c:pt>
                <c:pt idx="65">
                  <c:v>-8414.9099775097566</c:v>
                </c:pt>
                <c:pt idx="66">
                  <c:v>-133693.52211727703</c:v>
                </c:pt>
                <c:pt idx="67">
                  <c:v>9746.4698780517792</c:v>
                </c:pt>
                <c:pt idx="68">
                  <c:v>68807.360417435411</c:v>
                </c:pt>
                <c:pt idx="69">
                  <c:v>-45280.2831562598</c:v>
                </c:pt>
                <c:pt idx="70">
                  <c:v>42147.909705571597</c:v>
                </c:pt>
                <c:pt idx="71">
                  <c:v>26955.360515957815</c:v>
                </c:pt>
                <c:pt idx="72">
                  <c:v>-14838.505855177413</c:v>
                </c:pt>
                <c:pt idx="73">
                  <c:v>-57674.953360357904</c:v>
                </c:pt>
                <c:pt idx="74">
                  <c:v>91369.553499722038</c:v>
                </c:pt>
                <c:pt idx="75">
                  <c:v>-49235.683655404369</c:v>
                </c:pt>
                <c:pt idx="76">
                  <c:v>-40151.451702238992</c:v>
                </c:pt>
                <c:pt idx="77">
                  <c:v>30000.159458805807</c:v>
                </c:pt>
                <c:pt idx="78">
                  <c:v>45534.429171196185</c:v>
                </c:pt>
                <c:pt idx="79">
                  <c:v>-34613.129517767578</c:v>
                </c:pt>
                <c:pt idx="80">
                  <c:v>-28302.230039484566</c:v>
                </c:pt>
                <c:pt idx="81">
                  <c:v>57573.135636606719</c:v>
                </c:pt>
                <c:pt idx="82">
                  <c:v>81387.092101865914</c:v>
                </c:pt>
                <c:pt idx="83">
                  <c:v>-3875.4113843631931</c:v>
                </c:pt>
                <c:pt idx="84">
                  <c:v>2561.995789917768</c:v>
                </c:pt>
                <c:pt idx="85">
                  <c:v>-19676.381259778864</c:v>
                </c:pt>
                <c:pt idx="86">
                  <c:v>-10998.499357024324</c:v>
                </c:pt>
                <c:pt idx="87">
                  <c:v>-15030.3257497882</c:v>
                </c:pt>
                <c:pt idx="88">
                  <c:v>16309.558481779066</c:v>
                </c:pt>
                <c:pt idx="89">
                  <c:v>-118183.91577245318</c:v>
                </c:pt>
                <c:pt idx="90">
                  <c:v>44750.795408065547</c:v>
                </c:pt>
                <c:pt idx="91">
                  <c:v>26145.931442624191</c:v>
                </c:pt>
                <c:pt idx="92">
                  <c:v>-7234.879779844312</c:v>
                </c:pt>
                <c:pt idx="93">
                  <c:v>44675.249277184019</c:v>
                </c:pt>
                <c:pt idx="94">
                  <c:v>64210.709993797704</c:v>
                </c:pt>
                <c:pt idx="95">
                  <c:v>-14378.964138212148</c:v>
                </c:pt>
                <c:pt idx="96">
                  <c:v>6711.4812516295351</c:v>
                </c:pt>
                <c:pt idx="97">
                  <c:v>73427.061644917238</c:v>
                </c:pt>
                <c:pt idx="98">
                  <c:v>-4506.1932534069056</c:v>
                </c:pt>
                <c:pt idx="99">
                  <c:v>37296.379545412841</c:v>
                </c:pt>
                <c:pt idx="100">
                  <c:v>61589.492777783307</c:v>
                </c:pt>
                <c:pt idx="101">
                  <c:v>-20858.723325389903</c:v>
                </c:pt>
                <c:pt idx="102">
                  <c:v>20449.065187108237</c:v>
                </c:pt>
                <c:pt idx="103">
                  <c:v>110622.55521620996</c:v>
                </c:pt>
                <c:pt idx="104">
                  <c:v>8272.9319939650595</c:v>
                </c:pt>
                <c:pt idx="105">
                  <c:v>-4200.6450870366534</c:v>
                </c:pt>
                <c:pt idx="106">
                  <c:v>84425.960055753472</c:v>
                </c:pt>
                <c:pt idx="107">
                  <c:v>-18428.198063588003</c:v>
                </c:pt>
                <c:pt idx="108">
                  <c:v>-596.58455591415986</c:v>
                </c:pt>
                <c:pt idx="109">
                  <c:v>22444.779510559631</c:v>
                </c:pt>
                <c:pt idx="110">
                  <c:v>-11798.607170544565</c:v>
                </c:pt>
                <c:pt idx="111">
                  <c:v>118024.08845192799</c:v>
                </c:pt>
                <c:pt idx="112">
                  <c:v>8218.3655582031934</c:v>
                </c:pt>
                <c:pt idx="113">
                  <c:v>61570.893393078935</c:v>
                </c:pt>
                <c:pt idx="114">
                  <c:v>-51176.695722335484</c:v>
                </c:pt>
                <c:pt idx="115">
                  <c:v>-24304.396525362041</c:v>
                </c:pt>
                <c:pt idx="116">
                  <c:v>4881.5419769196305</c:v>
                </c:pt>
                <c:pt idx="117">
                  <c:v>70872.963595701847</c:v>
                </c:pt>
                <c:pt idx="118">
                  <c:v>-52640.460269912845</c:v>
                </c:pt>
                <c:pt idx="119">
                  <c:v>16470.52751990268</c:v>
                </c:pt>
                <c:pt idx="120">
                  <c:v>-66227.278298011573</c:v>
                </c:pt>
                <c:pt idx="121">
                  <c:v>31614.887451365008</c:v>
                </c:pt>
                <c:pt idx="122">
                  <c:v>-44158.473568045767</c:v>
                </c:pt>
                <c:pt idx="123">
                  <c:v>-29501.405436247936</c:v>
                </c:pt>
                <c:pt idx="124">
                  <c:v>102244.73807574366</c:v>
                </c:pt>
                <c:pt idx="125">
                  <c:v>31114.454439741792</c:v>
                </c:pt>
                <c:pt idx="126">
                  <c:v>70336.520148017211</c:v>
                </c:pt>
                <c:pt idx="127">
                  <c:v>-17556.995358125656</c:v>
                </c:pt>
                <c:pt idx="128">
                  <c:v>25592.959082807763</c:v>
                </c:pt>
                <c:pt idx="129">
                  <c:v>-17557.730398292071</c:v>
                </c:pt>
                <c:pt idx="130">
                  <c:v>-46832.44180727168</c:v>
                </c:pt>
                <c:pt idx="131">
                  <c:v>-24216.966919748345</c:v>
                </c:pt>
                <c:pt idx="132">
                  <c:v>-52030.750280288747</c:v>
                </c:pt>
                <c:pt idx="133">
                  <c:v>-72050.414505830442</c:v>
                </c:pt>
                <c:pt idx="134">
                  <c:v>15702.340170343174</c:v>
                </c:pt>
                <c:pt idx="135">
                  <c:v>-4986.1347896574298</c:v>
                </c:pt>
                <c:pt idx="136">
                  <c:v>-112247.72903956869</c:v>
                </c:pt>
                <c:pt idx="137">
                  <c:v>51078.728030106402</c:v>
                </c:pt>
                <c:pt idx="138">
                  <c:v>69017.015106998384</c:v>
                </c:pt>
                <c:pt idx="139">
                  <c:v>25149.398806963698</c:v>
                </c:pt>
                <c:pt idx="140">
                  <c:v>47704.973410718259</c:v>
                </c:pt>
                <c:pt idx="141">
                  <c:v>26767.927093807724</c:v>
                </c:pt>
                <c:pt idx="142">
                  <c:v>34502.026257431135</c:v>
                </c:pt>
                <c:pt idx="143">
                  <c:v>35054.405212786398</c:v>
                </c:pt>
                <c:pt idx="144">
                  <c:v>-36462.659379157354</c:v>
                </c:pt>
                <c:pt idx="145">
                  <c:v>-25582.46000531665</c:v>
                </c:pt>
                <c:pt idx="146">
                  <c:v>7495.2333483960247</c:v>
                </c:pt>
                <c:pt idx="147">
                  <c:v>-4778.9537662650691</c:v>
                </c:pt>
                <c:pt idx="148">
                  <c:v>-23595.820151095162</c:v>
                </c:pt>
                <c:pt idx="149">
                  <c:v>43357.226346171228</c:v>
                </c:pt>
                <c:pt idx="150">
                  <c:v>61498.041608201806</c:v>
                </c:pt>
                <c:pt idx="151">
                  <c:v>58907.413825458381</c:v>
                </c:pt>
                <c:pt idx="152">
                  <c:v>-9251.4639504638035</c:v>
                </c:pt>
                <c:pt idx="153">
                  <c:v>9756.5804077145876</c:v>
                </c:pt>
                <c:pt idx="154">
                  <c:v>-32318.817933423561</c:v>
                </c:pt>
                <c:pt idx="155">
                  <c:v>7848.3216818774818</c:v>
                </c:pt>
                <c:pt idx="156">
                  <c:v>-13575.113015280222</c:v>
                </c:pt>
                <c:pt idx="157">
                  <c:v>-21019.201434904826</c:v>
                </c:pt>
                <c:pt idx="158">
                  <c:v>33757.877881731489</c:v>
                </c:pt>
                <c:pt idx="159">
                  <c:v>75231.325101392576</c:v>
                </c:pt>
                <c:pt idx="160">
                  <c:v>-35637.521894251695</c:v>
                </c:pt>
                <c:pt idx="161">
                  <c:v>87276.962690469343</c:v>
                </c:pt>
                <c:pt idx="162">
                  <c:v>-44854.762046281598</c:v>
                </c:pt>
                <c:pt idx="163">
                  <c:v>15100.517932407209</c:v>
                </c:pt>
                <c:pt idx="164">
                  <c:v>40455.736030117609</c:v>
                </c:pt>
                <c:pt idx="165">
                  <c:v>-22227.856196966721</c:v>
                </c:pt>
                <c:pt idx="166">
                  <c:v>1883.1822863548296</c:v>
                </c:pt>
                <c:pt idx="167">
                  <c:v>21568.893398693646</c:v>
                </c:pt>
                <c:pt idx="168">
                  <c:v>-37602.417123343446</c:v>
                </c:pt>
                <c:pt idx="169">
                  <c:v>-93479.137994827353</c:v>
                </c:pt>
                <c:pt idx="170">
                  <c:v>21172.985029219068</c:v>
                </c:pt>
                <c:pt idx="171">
                  <c:v>-13181.655866858782</c:v>
                </c:pt>
                <c:pt idx="172">
                  <c:v>22400.435171063291</c:v>
                </c:pt>
                <c:pt idx="173">
                  <c:v>-41072.761585849803</c:v>
                </c:pt>
                <c:pt idx="174">
                  <c:v>-42245.076625697548</c:v>
                </c:pt>
                <c:pt idx="175">
                  <c:v>-6758.0980688635027</c:v>
                </c:pt>
                <c:pt idx="176">
                  <c:v>-14744.362538438174</c:v>
                </c:pt>
                <c:pt idx="177">
                  <c:v>85141.562745622708</c:v>
                </c:pt>
                <c:pt idx="178">
                  <c:v>27073.029137542238</c:v>
                </c:pt>
                <c:pt idx="179">
                  <c:v>63702.726232068148</c:v>
                </c:pt>
                <c:pt idx="180">
                  <c:v>-11547.526648097089</c:v>
                </c:pt>
                <c:pt idx="181">
                  <c:v>-13946.250712551409</c:v>
                </c:pt>
                <c:pt idx="182">
                  <c:v>-44614.103978902218</c:v>
                </c:pt>
                <c:pt idx="183">
                  <c:v>-15262.763380505843</c:v>
                </c:pt>
                <c:pt idx="184">
                  <c:v>-2060.2338846030179</c:v>
                </c:pt>
                <c:pt idx="185">
                  <c:v>47032.076293993043</c:v>
                </c:pt>
                <c:pt idx="186">
                  <c:v>94247.49163861631</c:v>
                </c:pt>
                <c:pt idx="187">
                  <c:v>-32408.002826419775</c:v>
                </c:pt>
                <c:pt idx="188">
                  <c:v>22572.674996765913</c:v>
                </c:pt>
                <c:pt idx="189">
                  <c:v>10788.864672538242</c:v>
                </c:pt>
                <c:pt idx="190">
                  <c:v>-23485.799719653907</c:v>
                </c:pt>
                <c:pt idx="191">
                  <c:v>-44745.957731283386</c:v>
                </c:pt>
                <c:pt idx="192">
                  <c:v>-57108.648873547674</c:v>
                </c:pt>
                <c:pt idx="193">
                  <c:v>-20500.407725128811</c:v>
                </c:pt>
                <c:pt idx="194">
                  <c:v>-20107.203182502883</c:v>
                </c:pt>
                <c:pt idx="195">
                  <c:v>-97550.900879935769</c:v>
                </c:pt>
                <c:pt idx="196">
                  <c:v>47327.971045484301</c:v>
                </c:pt>
                <c:pt idx="197">
                  <c:v>-35763.481345176115</c:v>
                </c:pt>
                <c:pt idx="198">
                  <c:v>-30345.090562100057</c:v>
                </c:pt>
                <c:pt idx="199">
                  <c:v>91318.062491319026</c:v>
                </c:pt>
                <c:pt idx="200">
                  <c:v>-19708.400209581712</c:v>
                </c:pt>
                <c:pt idx="201">
                  <c:v>93450.981729638996</c:v>
                </c:pt>
                <c:pt idx="202">
                  <c:v>-65835.470778974355</c:v>
                </c:pt>
                <c:pt idx="203">
                  <c:v>-17017.987621743814</c:v>
                </c:pt>
                <c:pt idx="204">
                  <c:v>4195.4842225813773</c:v>
                </c:pt>
                <c:pt idx="205">
                  <c:v>74601.308650100487</c:v>
                </c:pt>
                <c:pt idx="206">
                  <c:v>-73971.962073270115</c:v>
                </c:pt>
                <c:pt idx="207">
                  <c:v>-60917.856760576484</c:v>
                </c:pt>
                <c:pt idx="208">
                  <c:v>2761.0240973115433</c:v>
                </c:pt>
                <c:pt idx="209">
                  <c:v>-86878.807167985477</c:v>
                </c:pt>
                <c:pt idx="210">
                  <c:v>-9646.0524120699847</c:v>
                </c:pt>
                <c:pt idx="211">
                  <c:v>-17572.370198919089</c:v>
                </c:pt>
                <c:pt idx="212">
                  <c:v>28607.959789365181</c:v>
                </c:pt>
                <c:pt idx="213">
                  <c:v>40092.945245480165</c:v>
                </c:pt>
                <c:pt idx="214">
                  <c:v>-26211.698213939555</c:v>
                </c:pt>
                <c:pt idx="215">
                  <c:v>4602.4661483311793</c:v>
                </c:pt>
                <c:pt idx="216">
                  <c:v>21456.206849293085</c:v>
                </c:pt>
                <c:pt idx="217">
                  <c:v>33476.115296774195</c:v>
                </c:pt>
                <c:pt idx="218">
                  <c:v>72577.241034327424</c:v>
                </c:pt>
                <c:pt idx="219">
                  <c:v>38080.233963117353</c:v>
                </c:pt>
                <c:pt idx="220">
                  <c:v>15473.864594966522</c:v>
                </c:pt>
                <c:pt idx="221">
                  <c:v>-3231.0537468598923</c:v>
                </c:pt>
                <c:pt idx="222">
                  <c:v>-1969.7670809662668</c:v>
                </c:pt>
                <c:pt idx="223">
                  <c:v>-55736.270895127207</c:v>
                </c:pt>
                <c:pt idx="224">
                  <c:v>19067.147731530364</c:v>
                </c:pt>
                <c:pt idx="225">
                  <c:v>-18270.753516446915</c:v>
                </c:pt>
                <c:pt idx="226">
                  <c:v>-40220.989072596654</c:v>
                </c:pt>
                <c:pt idx="227">
                  <c:v>42684.485596942774</c:v>
                </c:pt>
                <c:pt idx="228">
                  <c:v>-69398.655618409044</c:v>
                </c:pt>
                <c:pt idx="229">
                  <c:v>54424.580247317557</c:v>
                </c:pt>
                <c:pt idx="230">
                  <c:v>-49728.630330819637</c:v>
                </c:pt>
                <c:pt idx="231">
                  <c:v>30734.517612631316</c:v>
                </c:pt>
                <c:pt idx="232">
                  <c:v>52639.325475548976</c:v>
                </c:pt>
                <c:pt idx="233">
                  <c:v>71051.178042954765</c:v>
                </c:pt>
                <c:pt idx="234">
                  <c:v>-24858.489143541432</c:v>
                </c:pt>
                <c:pt idx="235">
                  <c:v>4884.9312689661747</c:v>
                </c:pt>
                <c:pt idx="236">
                  <c:v>-68338.816090602661</c:v>
                </c:pt>
                <c:pt idx="237">
                  <c:v>-13452.776181930793</c:v>
                </c:pt>
                <c:pt idx="238">
                  <c:v>-27792.87307217333</c:v>
                </c:pt>
                <c:pt idx="239">
                  <c:v>-3621.3628322615987</c:v>
                </c:pt>
                <c:pt idx="240">
                  <c:v>47752.429159113439</c:v>
                </c:pt>
                <c:pt idx="241">
                  <c:v>28837.988218099112</c:v>
                </c:pt>
                <c:pt idx="242">
                  <c:v>18697.130349543761</c:v>
                </c:pt>
                <c:pt idx="243">
                  <c:v>29349.246219854336</c:v>
                </c:pt>
                <c:pt idx="244">
                  <c:v>17800.435509618372</c:v>
                </c:pt>
                <c:pt idx="245">
                  <c:v>-1567.870157953701</c:v>
                </c:pt>
                <c:pt idx="246">
                  <c:v>-19208.739816944464</c:v>
                </c:pt>
                <c:pt idx="247">
                  <c:v>-1264.8752229106613</c:v>
                </c:pt>
                <c:pt idx="248">
                  <c:v>39205.290238046087</c:v>
                </c:pt>
                <c:pt idx="249">
                  <c:v>-35658.241440274986</c:v>
                </c:pt>
                <c:pt idx="250">
                  <c:v>12049.447367619839</c:v>
                </c:pt>
                <c:pt idx="251">
                  <c:v>-7574.6535088893725</c:v>
                </c:pt>
                <c:pt idx="252">
                  <c:v>44440.011905524065</c:v>
                </c:pt>
                <c:pt idx="253">
                  <c:v>98905.760182968224</c:v>
                </c:pt>
                <c:pt idx="254">
                  <c:v>45933.026480561472</c:v>
                </c:pt>
                <c:pt idx="255">
                  <c:v>-27377.195213678177</c:v>
                </c:pt>
                <c:pt idx="256">
                  <c:v>92070.70021103078</c:v>
                </c:pt>
                <c:pt idx="257">
                  <c:v>16904.243426369154</c:v>
                </c:pt>
                <c:pt idx="258">
                  <c:v>14467.488296378986</c:v>
                </c:pt>
                <c:pt idx="259">
                  <c:v>65790.93869975768</c:v>
                </c:pt>
                <c:pt idx="260">
                  <c:v>7337.3124809980509</c:v>
                </c:pt>
                <c:pt idx="261">
                  <c:v>-3747.9274962609634</c:v>
                </c:pt>
                <c:pt idx="262">
                  <c:v>47511.418596534175</c:v>
                </c:pt>
                <c:pt idx="263">
                  <c:v>39389.065845469362</c:v>
                </c:pt>
                <c:pt idx="264">
                  <c:v>139.94007491623051</c:v>
                </c:pt>
                <c:pt idx="265">
                  <c:v>25826.005803710665</c:v>
                </c:pt>
                <c:pt idx="266">
                  <c:v>24523.43772083777</c:v>
                </c:pt>
                <c:pt idx="267">
                  <c:v>40337.600188660203</c:v>
                </c:pt>
                <c:pt idx="268">
                  <c:v>-59947.526895461022</c:v>
                </c:pt>
                <c:pt idx="269">
                  <c:v>51111.620341348927</c:v>
                </c:pt>
                <c:pt idx="270">
                  <c:v>429.73259897658136</c:v>
                </c:pt>
                <c:pt idx="271">
                  <c:v>-84377.524289424182</c:v>
                </c:pt>
                <c:pt idx="272">
                  <c:v>-13471.097186358878</c:v>
                </c:pt>
                <c:pt idx="273">
                  <c:v>28849.685380332987</c:v>
                </c:pt>
                <c:pt idx="274">
                  <c:v>-14129.355007054401</c:v>
                </c:pt>
                <c:pt idx="275">
                  <c:v>52566.585893198266</c:v>
                </c:pt>
                <c:pt idx="276">
                  <c:v>-77388.773241001065</c:v>
                </c:pt>
                <c:pt idx="277">
                  <c:v>23851.775322349393</c:v>
                </c:pt>
                <c:pt idx="278">
                  <c:v>2983.0656973925652</c:v>
                </c:pt>
                <c:pt idx="279">
                  <c:v>-28463.419700780418</c:v>
                </c:pt>
                <c:pt idx="280">
                  <c:v>-60493.106587629649</c:v>
                </c:pt>
                <c:pt idx="281">
                  <c:v>-29900.422214305378</c:v>
                </c:pt>
                <c:pt idx="282">
                  <c:v>48009.709150260082</c:v>
                </c:pt>
                <c:pt idx="283">
                  <c:v>-18759.700523993641</c:v>
                </c:pt>
                <c:pt idx="284">
                  <c:v>-32259.333672619658</c:v>
                </c:pt>
                <c:pt idx="285">
                  <c:v>-4672.8957497277297</c:v>
                </c:pt>
                <c:pt idx="286">
                  <c:v>8787.2117596552707</c:v>
                </c:pt>
                <c:pt idx="287">
                  <c:v>-35142.503967028228</c:v>
                </c:pt>
                <c:pt idx="288">
                  <c:v>-15051.601509919623</c:v>
                </c:pt>
                <c:pt idx="289">
                  <c:v>-22825.745456776116</c:v>
                </c:pt>
                <c:pt idx="290">
                  <c:v>68774.858669982408</c:v>
                </c:pt>
                <c:pt idx="291">
                  <c:v>-1436.6848989963764</c:v>
                </c:pt>
                <c:pt idx="292">
                  <c:v>-47793.572075212956</c:v>
                </c:pt>
                <c:pt idx="293">
                  <c:v>4212.1285358224995</c:v>
                </c:pt>
                <c:pt idx="294">
                  <c:v>-6133.8746401900426</c:v>
                </c:pt>
                <c:pt idx="295">
                  <c:v>-799.71863514737925</c:v>
                </c:pt>
                <c:pt idx="296">
                  <c:v>-4181.0841077562654</c:v>
                </c:pt>
                <c:pt idx="297">
                  <c:v>96270.76779247995</c:v>
                </c:pt>
                <c:pt idx="298">
                  <c:v>-22496.303821725189</c:v>
                </c:pt>
                <c:pt idx="299">
                  <c:v>-79524.395955139771</c:v>
                </c:pt>
                <c:pt idx="300">
                  <c:v>-11161.587083385559</c:v>
                </c:pt>
                <c:pt idx="301">
                  <c:v>-14283.933424172457</c:v>
                </c:pt>
                <c:pt idx="302">
                  <c:v>1238.8354464733275</c:v>
                </c:pt>
                <c:pt idx="303">
                  <c:v>82810.744723305805</c:v>
                </c:pt>
                <c:pt idx="304">
                  <c:v>58099.140107549494</c:v>
                </c:pt>
                <c:pt idx="305">
                  <c:v>-109011.64818553219</c:v>
                </c:pt>
                <c:pt idx="306">
                  <c:v>37068.107775875484</c:v>
                </c:pt>
                <c:pt idx="307">
                  <c:v>-30252.584166878019</c:v>
                </c:pt>
                <c:pt idx="308">
                  <c:v>-10501.380426026997</c:v>
                </c:pt>
                <c:pt idx="309">
                  <c:v>-57283.974379246705</c:v>
                </c:pt>
                <c:pt idx="310">
                  <c:v>-9043.1605746934656</c:v>
                </c:pt>
                <c:pt idx="311">
                  <c:v>30567.014507002896</c:v>
                </c:pt>
                <c:pt idx="312">
                  <c:v>2942.4581866859226</c:v>
                </c:pt>
                <c:pt idx="313">
                  <c:v>-20484.278121933225</c:v>
                </c:pt>
                <c:pt idx="314">
                  <c:v>43694.416815164499</c:v>
                </c:pt>
                <c:pt idx="315">
                  <c:v>39890.897755862214</c:v>
                </c:pt>
                <c:pt idx="316">
                  <c:v>-44997.595803038217</c:v>
                </c:pt>
                <c:pt idx="317">
                  <c:v>-11137.38290306821</c:v>
                </c:pt>
                <c:pt idx="318">
                  <c:v>-12564.759253064869</c:v>
                </c:pt>
                <c:pt idx="319">
                  <c:v>-54568.032199176028</c:v>
                </c:pt>
              </c:numCache>
            </c:numRef>
          </c:yVal>
          <c:smooth val="0"/>
          <c:extLst>
            <c:ext xmlns:c16="http://schemas.microsoft.com/office/drawing/2014/chart" uri="{C3380CC4-5D6E-409C-BE32-E72D297353CC}">
              <c16:uniqueId val="{00000000-2CB3-439D-91AB-15E986CF7758}"/>
            </c:ext>
          </c:extLst>
        </c:ser>
        <c:dLbls>
          <c:showLegendKey val="0"/>
          <c:showVal val="0"/>
          <c:showCatName val="0"/>
          <c:showSerName val="0"/>
          <c:showPercent val="0"/>
          <c:showBubbleSize val="0"/>
        </c:dLbls>
        <c:axId val="399676016"/>
        <c:axId val="397527552"/>
      </c:scatterChart>
      <c:valAx>
        <c:axId val="399676016"/>
        <c:scaling>
          <c:orientation val="minMax"/>
        </c:scaling>
        <c:delete val="0"/>
        <c:axPos val="b"/>
        <c:title>
          <c:tx>
            <c:rich>
              <a:bodyPr/>
              <a:lstStyle/>
              <a:p>
                <a:pPr>
                  <a:defRPr/>
                </a:pPr>
                <a:r>
                  <a:rPr lang="en-IN"/>
                  <a:t>footfall</a:t>
                </a:r>
              </a:p>
            </c:rich>
          </c:tx>
          <c:overlay val="0"/>
        </c:title>
        <c:numFmt formatCode="General" sourceLinked="1"/>
        <c:majorTickMark val="out"/>
        <c:minorTickMark val="none"/>
        <c:tickLblPos val="nextTo"/>
        <c:crossAx val="397527552"/>
        <c:crosses val="autoZero"/>
        <c:crossBetween val="midCat"/>
      </c:valAx>
      <c:valAx>
        <c:axId val="397527552"/>
        <c:scaling>
          <c:orientation val="minMax"/>
        </c:scaling>
        <c:delete val="0"/>
        <c:axPos val="l"/>
        <c:title>
          <c:tx>
            <c:rich>
              <a:bodyPr/>
              <a:lstStyle/>
              <a:p>
                <a:pPr>
                  <a:defRPr/>
                </a:pPr>
                <a:r>
                  <a:rPr lang="en-IN"/>
                  <a:t>Residuals</a:t>
                </a:r>
              </a:p>
            </c:rich>
          </c:tx>
          <c:overlay val="0"/>
        </c:title>
        <c:numFmt formatCode="General" sourceLinked="1"/>
        <c:majorTickMark val="out"/>
        <c:minorTickMark val="none"/>
        <c:tickLblPos val="nextTo"/>
        <c:crossAx val="399676016"/>
        <c:crosses val="autoZero"/>
        <c:crossBetween val="midCat"/>
      </c:valAx>
    </c:plotArea>
    <c:plotVisOnly val="1"/>
    <c:dispBlanksAs val="gap"/>
    <c:extLst>
      <c:ext xmlns:c16r3="http://schemas.microsoft.com/office/drawing/2017/03/chart" uri="{56B9EC1D-385E-4148-901F-78D8002777C0}">
        <c16r3:dataDisplayOptions16>
          <c16r3:dispNaAsBlank val="1"/>
        </c16r3:dataDisplayOptions16>
      </c:ext>
    </c:extLst>
    <c:showDLblsOverMax val="0"/>
  </c:chart>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a:pPr>
            <a:r>
              <a:rPr lang="en-IN"/>
              <a:t>avg_discount_pct  Residual Plot</a:t>
            </a:r>
          </a:p>
        </c:rich>
      </c:tx>
      <c:overlay val="0"/>
    </c:title>
    <c:autoTitleDeleted val="0"/>
    <c:plotArea>
      <c:layout/>
      <c:scatterChart>
        <c:scatterStyle val="lineMarker"/>
        <c:varyColors val="0"/>
        <c:ser>
          <c:idx val="0"/>
          <c:order val="0"/>
          <c:spPr>
            <a:ln w="38100">
              <a:noFill/>
            </a:ln>
          </c:spPr>
          <c:xVal>
            <c:numRef>
              <c:f>store_performance!$J$2:$J$321</c:f>
              <c:numCache>
                <c:formatCode>General</c:formatCode>
                <c:ptCount val="320"/>
                <c:pt idx="0">
                  <c:v>4.2000000000000003E-2</c:v>
                </c:pt>
                <c:pt idx="1">
                  <c:v>0.16800000000000001</c:v>
                </c:pt>
                <c:pt idx="2">
                  <c:v>0.13300000000000001</c:v>
                </c:pt>
                <c:pt idx="3">
                  <c:v>0.14199999999999999</c:v>
                </c:pt>
                <c:pt idx="4">
                  <c:v>0.23100000000000001</c:v>
                </c:pt>
                <c:pt idx="5">
                  <c:v>0.112</c:v>
                </c:pt>
                <c:pt idx="6">
                  <c:v>0.122</c:v>
                </c:pt>
                <c:pt idx="7">
                  <c:v>0.127</c:v>
                </c:pt>
                <c:pt idx="8">
                  <c:v>0.215</c:v>
                </c:pt>
                <c:pt idx="9">
                  <c:v>0.22</c:v>
                </c:pt>
                <c:pt idx="10">
                  <c:v>0.21299999999999999</c:v>
                </c:pt>
                <c:pt idx="11">
                  <c:v>2E-3</c:v>
                </c:pt>
                <c:pt idx="12">
                  <c:v>0.11600000000000001</c:v>
                </c:pt>
                <c:pt idx="13">
                  <c:v>0.14599999999999999</c:v>
                </c:pt>
                <c:pt idx="14">
                  <c:v>0.22800000000000001</c:v>
                </c:pt>
                <c:pt idx="15">
                  <c:v>6.0000000000000001E-3</c:v>
                </c:pt>
                <c:pt idx="16">
                  <c:v>5.0000000000000001E-3</c:v>
                </c:pt>
                <c:pt idx="17">
                  <c:v>0.11899999999999999</c:v>
                </c:pt>
                <c:pt idx="18">
                  <c:v>0</c:v>
                </c:pt>
                <c:pt idx="19">
                  <c:v>0.158</c:v>
                </c:pt>
                <c:pt idx="20">
                  <c:v>0.23100000000000001</c:v>
                </c:pt>
                <c:pt idx="21">
                  <c:v>0.17599999999999999</c:v>
                </c:pt>
                <c:pt idx="22">
                  <c:v>0.16</c:v>
                </c:pt>
                <c:pt idx="23">
                  <c:v>0.216</c:v>
                </c:pt>
                <c:pt idx="24">
                  <c:v>0.121</c:v>
                </c:pt>
                <c:pt idx="25">
                  <c:v>0.14000000000000001</c:v>
                </c:pt>
                <c:pt idx="26">
                  <c:v>0.16900000000000001</c:v>
                </c:pt>
                <c:pt idx="27">
                  <c:v>0.122</c:v>
                </c:pt>
                <c:pt idx="28">
                  <c:v>0.124</c:v>
                </c:pt>
                <c:pt idx="29">
                  <c:v>0.216</c:v>
                </c:pt>
                <c:pt idx="30">
                  <c:v>0.13600000000000001</c:v>
                </c:pt>
                <c:pt idx="31">
                  <c:v>0.16800000000000001</c:v>
                </c:pt>
                <c:pt idx="32">
                  <c:v>0.188</c:v>
                </c:pt>
                <c:pt idx="33">
                  <c:v>7.0000000000000007E-2</c:v>
                </c:pt>
                <c:pt idx="34">
                  <c:v>3.9E-2</c:v>
                </c:pt>
                <c:pt idx="35">
                  <c:v>0.247</c:v>
                </c:pt>
                <c:pt idx="36">
                  <c:v>9.1999999999999998E-2</c:v>
                </c:pt>
                <c:pt idx="37">
                  <c:v>0.156</c:v>
                </c:pt>
                <c:pt idx="38">
                  <c:v>0.19800000000000001</c:v>
                </c:pt>
                <c:pt idx="39">
                  <c:v>8.5000000000000006E-2</c:v>
                </c:pt>
                <c:pt idx="40">
                  <c:v>0.218</c:v>
                </c:pt>
                <c:pt idx="41">
                  <c:v>0.14299999999999999</c:v>
                </c:pt>
                <c:pt idx="42">
                  <c:v>0.128</c:v>
                </c:pt>
                <c:pt idx="43">
                  <c:v>1.9E-2</c:v>
                </c:pt>
                <c:pt idx="44">
                  <c:v>0.06</c:v>
                </c:pt>
                <c:pt idx="45">
                  <c:v>0.23499999999999999</c:v>
                </c:pt>
                <c:pt idx="46">
                  <c:v>0.113</c:v>
                </c:pt>
                <c:pt idx="47">
                  <c:v>0.155</c:v>
                </c:pt>
                <c:pt idx="48">
                  <c:v>0.109</c:v>
                </c:pt>
                <c:pt idx="49">
                  <c:v>0.218</c:v>
                </c:pt>
                <c:pt idx="50">
                  <c:v>8.0000000000000002E-3</c:v>
                </c:pt>
                <c:pt idx="51">
                  <c:v>0.05</c:v>
                </c:pt>
                <c:pt idx="52">
                  <c:v>8.6999999999999994E-2</c:v>
                </c:pt>
                <c:pt idx="53">
                  <c:v>0.26200000000000001</c:v>
                </c:pt>
                <c:pt idx="54">
                  <c:v>0.106</c:v>
                </c:pt>
                <c:pt idx="55">
                  <c:v>0.08</c:v>
                </c:pt>
                <c:pt idx="56">
                  <c:v>0</c:v>
                </c:pt>
                <c:pt idx="57">
                  <c:v>3.9E-2</c:v>
                </c:pt>
                <c:pt idx="58">
                  <c:v>0.13700000000000001</c:v>
                </c:pt>
                <c:pt idx="59">
                  <c:v>9.1999999999999998E-2</c:v>
                </c:pt>
                <c:pt idx="60">
                  <c:v>6.2E-2</c:v>
                </c:pt>
                <c:pt idx="61">
                  <c:v>7.3999999999999996E-2</c:v>
                </c:pt>
                <c:pt idx="62">
                  <c:v>0.113</c:v>
                </c:pt>
                <c:pt idx="63">
                  <c:v>5.3999999999999999E-2</c:v>
                </c:pt>
                <c:pt idx="64">
                  <c:v>0.107</c:v>
                </c:pt>
                <c:pt idx="65">
                  <c:v>0.156</c:v>
                </c:pt>
                <c:pt idx="66">
                  <c:v>0.10199999999999999</c:v>
                </c:pt>
                <c:pt idx="67">
                  <c:v>0.115</c:v>
                </c:pt>
                <c:pt idx="68">
                  <c:v>0.14099999999999999</c:v>
                </c:pt>
                <c:pt idx="69">
                  <c:v>0.191</c:v>
                </c:pt>
                <c:pt idx="70">
                  <c:v>0.19700000000000001</c:v>
                </c:pt>
                <c:pt idx="71">
                  <c:v>3.5999999999999997E-2</c:v>
                </c:pt>
                <c:pt idx="72">
                  <c:v>0.27700000000000002</c:v>
                </c:pt>
                <c:pt idx="73">
                  <c:v>6.6000000000000003E-2</c:v>
                </c:pt>
                <c:pt idx="74">
                  <c:v>0.17799999999999999</c:v>
                </c:pt>
                <c:pt idx="75">
                  <c:v>0.20300000000000001</c:v>
                </c:pt>
                <c:pt idx="76">
                  <c:v>0.1</c:v>
                </c:pt>
                <c:pt idx="77">
                  <c:v>6.4000000000000001E-2</c:v>
                </c:pt>
                <c:pt idx="78">
                  <c:v>0.17199999999999999</c:v>
                </c:pt>
                <c:pt idx="79">
                  <c:v>0.252</c:v>
                </c:pt>
                <c:pt idx="80">
                  <c:v>0.17899999999999999</c:v>
                </c:pt>
                <c:pt idx="81">
                  <c:v>9.5000000000000001E-2</c:v>
                </c:pt>
                <c:pt idx="82">
                  <c:v>8.4000000000000005E-2</c:v>
                </c:pt>
                <c:pt idx="83">
                  <c:v>0.03</c:v>
                </c:pt>
                <c:pt idx="84">
                  <c:v>0.108</c:v>
                </c:pt>
                <c:pt idx="85">
                  <c:v>0.20599999999999999</c:v>
                </c:pt>
                <c:pt idx="86">
                  <c:v>5.8999999999999997E-2</c:v>
                </c:pt>
                <c:pt idx="87">
                  <c:v>0.14499999999999999</c:v>
                </c:pt>
                <c:pt idx="88">
                  <c:v>2.9000000000000001E-2</c:v>
                </c:pt>
                <c:pt idx="89">
                  <c:v>1.2999999999999999E-2</c:v>
                </c:pt>
                <c:pt idx="90">
                  <c:v>0.04</c:v>
                </c:pt>
                <c:pt idx="91">
                  <c:v>4.2999999999999997E-2</c:v>
                </c:pt>
                <c:pt idx="92">
                  <c:v>0.19400000000000001</c:v>
                </c:pt>
                <c:pt idx="93">
                  <c:v>0</c:v>
                </c:pt>
                <c:pt idx="94">
                  <c:v>7.2999999999999995E-2</c:v>
                </c:pt>
                <c:pt idx="95">
                  <c:v>7.3999999999999996E-2</c:v>
                </c:pt>
                <c:pt idx="96">
                  <c:v>0.16300000000000001</c:v>
                </c:pt>
                <c:pt idx="97">
                  <c:v>0.17100000000000001</c:v>
                </c:pt>
                <c:pt idx="98">
                  <c:v>7.4999999999999997E-2</c:v>
                </c:pt>
                <c:pt idx="99">
                  <c:v>0.189</c:v>
                </c:pt>
                <c:pt idx="100">
                  <c:v>0.15</c:v>
                </c:pt>
                <c:pt idx="101">
                  <c:v>0.17299999999999999</c:v>
                </c:pt>
                <c:pt idx="102">
                  <c:v>0.185</c:v>
                </c:pt>
                <c:pt idx="103">
                  <c:v>0.08</c:v>
                </c:pt>
                <c:pt idx="104">
                  <c:v>0.10299999999999999</c:v>
                </c:pt>
                <c:pt idx="105">
                  <c:v>5.6000000000000001E-2</c:v>
                </c:pt>
                <c:pt idx="106">
                  <c:v>0.13300000000000001</c:v>
                </c:pt>
                <c:pt idx="107">
                  <c:v>5.0999999999999997E-2</c:v>
                </c:pt>
                <c:pt idx="108">
                  <c:v>0.157</c:v>
                </c:pt>
                <c:pt idx="109">
                  <c:v>0.29199999999999998</c:v>
                </c:pt>
                <c:pt idx="110">
                  <c:v>8.8999999999999996E-2</c:v>
                </c:pt>
                <c:pt idx="111">
                  <c:v>5.7000000000000002E-2</c:v>
                </c:pt>
                <c:pt idx="112">
                  <c:v>0.17299999999999999</c:v>
                </c:pt>
                <c:pt idx="113">
                  <c:v>0.14199999999999999</c:v>
                </c:pt>
                <c:pt idx="114">
                  <c:v>0.159</c:v>
                </c:pt>
                <c:pt idx="115">
                  <c:v>0.13900000000000001</c:v>
                </c:pt>
                <c:pt idx="116">
                  <c:v>0.19</c:v>
                </c:pt>
                <c:pt idx="117">
                  <c:v>0.151</c:v>
                </c:pt>
                <c:pt idx="118">
                  <c:v>0.13300000000000001</c:v>
                </c:pt>
                <c:pt idx="119">
                  <c:v>0.23200000000000001</c:v>
                </c:pt>
                <c:pt idx="120">
                  <c:v>8.7999999999999995E-2</c:v>
                </c:pt>
                <c:pt idx="121">
                  <c:v>0</c:v>
                </c:pt>
                <c:pt idx="122">
                  <c:v>6.9000000000000006E-2</c:v>
                </c:pt>
                <c:pt idx="123">
                  <c:v>0.216</c:v>
                </c:pt>
                <c:pt idx="124">
                  <c:v>0.123</c:v>
                </c:pt>
                <c:pt idx="125">
                  <c:v>0.17599999999999999</c:v>
                </c:pt>
                <c:pt idx="126">
                  <c:v>0.20399999999999999</c:v>
                </c:pt>
                <c:pt idx="127">
                  <c:v>9.6000000000000002E-2</c:v>
                </c:pt>
                <c:pt idx="128">
                  <c:v>0.14199999999999999</c:v>
                </c:pt>
                <c:pt idx="129">
                  <c:v>0.20699999999999999</c:v>
                </c:pt>
                <c:pt idx="130">
                  <c:v>0.14399999999999999</c:v>
                </c:pt>
                <c:pt idx="131">
                  <c:v>8.8999999999999996E-2</c:v>
                </c:pt>
                <c:pt idx="132">
                  <c:v>7.9000000000000001E-2</c:v>
                </c:pt>
                <c:pt idx="133">
                  <c:v>0.19600000000000001</c:v>
                </c:pt>
                <c:pt idx="134">
                  <c:v>8.5999999999999993E-2</c:v>
                </c:pt>
                <c:pt idx="135">
                  <c:v>0.182</c:v>
                </c:pt>
                <c:pt idx="136">
                  <c:v>4.8000000000000001E-2</c:v>
                </c:pt>
                <c:pt idx="137">
                  <c:v>7.9000000000000001E-2</c:v>
                </c:pt>
                <c:pt idx="138">
                  <c:v>0.152</c:v>
                </c:pt>
                <c:pt idx="139">
                  <c:v>0.187</c:v>
                </c:pt>
                <c:pt idx="140">
                  <c:v>0.23400000000000001</c:v>
                </c:pt>
                <c:pt idx="141">
                  <c:v>3.7999999999999999E-2</c:v>
                </c:pt>
                <c:pt idx="142">
                  <c:v>6.9000000000000006E-2</c:v>
                </c:pt>
                <c:pt idx="143">
                  <c:v>0.182</c:v>
                </c:pt>
                <c:pt idx="144">
                  <c:v>0.16900000000000001</c:v>
                </c:pt>
                <c:pt idx="145">
                  <c:v>0.06</c:v>
                </c:pt>
                <c:pt idx="146">
                  <c:v>0.156</c:v>
                </c:pt>
                <c:pt idx="147">
                  <c:v>0.108</c:v>
                </c:pt>
                <c:pt idx="148">
                  <c:v>4.7E-2</c:v>
                </c:pt>
                <c:pt idx="149">
                  <c:v>4.3999999999999997E-2</c:v>
                </c:pt>
                <c:pt idx="150">
                  <c:v>0.1</c:v>
                </c:pt>
                <c:pt idx="151">
                  <c:v>0.19700000000000001</c:v>
                </c:pt>
                <c:pt idx="152">
                  <c:v>0.23400000000000001</c:v>
                </c:pt>
                <c:pt idx="153">
                  <c:v>0.16900000000000001</c:v>
                </c:pt>
                <c:pt idx="154">
                  <c:v>0.18</c:v>
                </c:pt>
                <c:pt idx="155">
                  <c:v>0.187</c:v>
                </c:pt>
                <c:pt idx="156">
                  <c:v>5.7000000000000002E-2</c:v>
                </c:pt>
                <c:pt idx="157">
                  <c:v>0.114</c:v>
                </c:pt>
                <c:pt idx="158">
                  <c:v>0.158</c:v>
                </c:pt>
                <c:pt idx="159">
                  <c:v>0.159</c:v>
                </c:pt>
                <c:pt idx="160">
                  <c:v>0.17499999999999999</c:v>
                </c:pt>
                <c:pt idx="161">
                  <c:v>3.4000000000000002E-2</c:v>
                </c:pt>
                <c:pt idx="162">
                  <c:v>0.193</c:v>
                </c:pt>
                <c:pt idx="163">
                  <c:v>7.4999999999999997E-2</c:v>
                </c:pt>
                <c:pt idx="164">
                  <c:v>0.157</c:v>
                </c:pt>
                <c:pt idx="165">
                  <c:v>0.123</c:v>
                </c:pt>
                <c:pt idx="166">
                  <c:v>0.09</c:v>
                </c:pt>
                <c:pt idx="167">
                  <c:v>0.126</c:v>
                </c:pt>
                <c:pt idx="168">
                  <c:v>0.13600000000000001</c:v>
                </c:pt>
                <c:pt idx="169">
                  <c:v>9.9000000000000005E-2</c:v>
                </c:pt>
                <c:pt idx="170">
                  <c:v>0.157</c:v>
                </c:pt>
                <c:pt idx="171">
                  <c:v>0.11799999999999999</c:v>
                </c:pt>
                <c:pt idx="172">
                  <c:v>0.157</c:v>
                </c:pt>
                <c:pt idx="173">
                  <c:v>0.109</c:v>
                </c:pt>
                <c:pt idx="174">
                  <c:v>0.125</c:v>
                </c:pt>
                <c:pt idx="175">
                  <c:v>0.159</c:v>
                </c:pt>
                <c:pt idx="176">
                  <c:v>4.5999999999999999E-2</c:v>
                </c:pt>
                <c:pt idx="177">
                  <c:v>0.17699999999999999</c:v>
                </c:pt>
                <c:pt idx="178">
                  <c:v>4.1000000000000002E-2</c:v>
                </c:pt>
                <c:pt idx="179">
                  <c:v>1.2999999999999999E-2</c:v>
                </c:pt>
                <c:pt idx="180">
                  <c:v>1E-3</c:v>
                </c:pt>
                <c:pt idx="181">
                  <c:v>0.14099999999999999</c:v>
                </c:pt>
                <c:pt idx="182">
                  <c:v>0.113</c:v>
                </c:pt>
                <c:pt idx="183">
                  <c:v>7.0000000000000007E-2</c:v>
                </c:pt>
                <c:pt idx="184">
                  <c:v>7.1999999999999995E-2</c:v>
                </c:pt>
                <c:pt idx="185">
                  <c:v>0.161</c:v>
                </c:pt>
                <c:pt idx="186">
                  <c:v>6.7000000000000004E-2</c:v>
                </c:pt>
                <c:pt idx="187">
                  <c:v>9.4E-2</c:v>
                </c:pt>
                <c:pt idx="188">
                  <c:v>0</c:v>
                </c:pt>
                <c:pt idx="189">
                  <c:v>5.8000000000000003E-2</c:v>
                </c:pt>
                <c:pt idx="190">
                  <c:v>0.25900000000000001</c:v>
                </c:pt>
                <c:pt idx="191">
                  <c:v>0.186</c:v>
                </c:pt>
                <c:pt idx="192">
                  <c:v>0.16400000000000001</c:v>
                </c:pt>
                <c:pt idx="193">
                  <c:v>0.15</c:v>
                </c:pt>
                <c:pt idx="194">
                  <c:v>8.8999999999999996E-2</c:v>
                </c:pt>
                <c:pt idx="195">
                  <c:v>0.22900000000000001</c:v>
                </c:pt>
                <c:pt idx="196">
                  <c:v>9.8000000000000004E-2</c:v>
                </c:pt>
                <c:pt idx="197">
                  <c:v>2.7E-2</c:v>
                </c:pt>
                <c:pt idx="198">
                  <c:v>0.28399999999999997</c:v>
                </c:pt>
                <c:pt idx="199">
                  <c:v>0.189</c:v>
                </c:pt>
                <c:pt idx="200">
                  <c:v>0.123</c:v>
                </c:pt>
                <c:pt idx="201">
                  <c:v>0.15</c:v>
                </c:pt>
                <c:pt idx="202">
                  <c:v>3.2000000000000001E-2</c:v>
                </c:pt>
                <c:pt idx="203">
                  <c:v>0.127</c:v>
                </c:pt>
                <c:pt idx="204">
                  <c:v>7.0000000000000007E-2</c:v>
                </c:pt>
                <c:pt idx="205">
                  <c:v>0.107</c:v>
                </c:pt>
                <c:pt idx="206">
                  <c:v>0.14899999999999999</c:v>
                </c:pt>
                <c:pt idx="207">
                  <c:v>0.11600000000000001</c:v>
                </c:pt>
                <c:pt idx="208">
                  <c:v>9.7000000000000003E-2</c:v>
                </c:pt>
                <c:pt idx="209">
                  <c:v>0.17100000000000001</c:v>
                </c:pt>
                <c:pt idx="210">
                  <c:v>2.9000000000000001E-2</c:v>
                </c:pt>
                <c:pt idx="211">
                  <c:v>9.2999999999999999E-2</c:v>
                </c:pt>
                <c:pt idx="212">
                  <c:v>9.0999999999999998E-2</c:v>
                </c:pt>
                <c:pt idx="213">
                  <c:v>0.15</c:v>
                </c:pt>
                <c:pt idx="214">
                  <c:v>0</c:v>
                </c:pt>
                <c:pt idx="215">
                  <c:v>0.14699999999999999</c:v>
                </c:pt>
                <c:pt idx="216">
                  <c:v>0.126</c:v>
                </c:pt>
                <c:pt idx="217">
                  <c:v>0.246</c:v>
                </c:pt>
                <c:pt idx="218">
                  <c:v>0.22900000000000001</c:v>
                </c:pt>
                <c:pt idx="219">
                  <c:v>0.13300000000000001</c:v>
                </c:pt>
                <c:pt idx="220">
                  <c:v>0.14599999999999999</c:v>
                </c:pt>
                <c:pt idx="221">
                  <c:v>8.7999999999999995E-2</c:v>
                </c:pt>
                <c:pt idx="222">
                  <c:v>0.11600000000000001</c:v>
                </c:pt>
                <c:pt idx="223">
                  <c:v>3.5000000000000003E-2</c:v>
                </c:pt>
                <c:pt idx="224">
                  <c:v>0.19800000000000001</c:v>
                </c:pt>
                <c:pt idx="225">
                  <c:v>0.112</c:v>
                </c:pt>
                <c:pt idx="226">
                  <c:v>0.17100000000000001</c:v>
                </c:pt>
                <c:pt idx="227">
                  <c:v>9.2999999999999999E-2</c:v>
                </c:pt>
                <c:pt idx="228">
                  <c:v>7.0999999999999994E-2</c:v>
                </c:pt>
                <c:pt idx="229">
                  <c:v>0.20200000000000001</c:v>
                </c:pt>
                <c:pt idx="230">
                  <c:v>0.16900000000000001</c:v>
                </c:pt>
                <c:pt idx="231">
                  <c:v>0</c:v>
                </c:pt>
                <c:pt idx="232">
                  <c:v>6.9000000000000006E-2</c:v>
                </c:pt>
                <c:pt idx="233">
                  <c:v>0.126</c:v>
                </c:pt>
                <c:pt idx="234">
                  <c:v>4.8000000000000001E-2</c:v>
                </c:pt>
                <c:pt idx="235">
                  <c:v>0.11899999999999999</c:v>
                </c:pt>
                <c:pt idx="236">
                  <c:v>0.121</c:v>
                </c:pt>
                <c:pt idx="237">
                  <c:v>0.106</c:v>
                </c:pt>
                <c:pt idx="238">
                  <c:v>0.20100000000000001</c:v>
                </c:pt>
                <c:pt idx="239">
                  <c:v>0.186</c:v>
                </c:pt>
                <c:pt idx="240">
                  <c:v>0.28100000000000003</c:v>
                </c:pt>
                <c:pt idx="241">
                  <c:v>5.8999999999999997E-2</c:v>
                </c:pt>
                <c:pt idx="242">
                  <c:v>0.152</c:v>
                </c:pt>
                <c:pt idx="243">
                  <c:v>0</c:v>
                </c:pt>
                <c:pt idx="244">
                  <c:v>8.4000000000000005E-2</c:v>
                </c:pt>
                <c:pt idx="245">
                  <c:v>0</c:v>
                </c:pt>
                <c:pt idx="246">
                  <c:v>0.21</c:v>
                </c:pt>
                <c:pt idx="247">
                  <c:v>0.22700000000000001</c:v>
                </c:pt>
                <c:pt idx="248">
                  <c:v>0.15</c:v>
                </c:pt>
                <c:pt idx="249">
                  <c:v>2.5999999999999999E-2</c:v>
                </c:pt>
                <c:pt idx="250">
                  <c:v>0.27300000000000002</c:v>
                </c:pt>
                <c:pt idx="251">
                  <c:v>8.6999999999999994E-2</c:v>
                </c:pt>
                <c:pt idx="252">
                  <c:v>0.05</c:v>
                </c:pt>
                <c:pt idx="253">
                  <c:v>7.3999999999999996E-2</c:v>
                </c:pt>
                <c:pt idx="254">
                  <c:v>5.8999999999999997E-2</c:v>
                </c:pt>
                <c:pt idx="255">
                  <c:v>0</c:v>
                </c:pt>
                <c:pt idx="256">
                  <c:v>5.0999999999999997E-2</c:v>
                </c:pt>
                <c:pt idx="257">
                  <c:v>0.114</c:v>
                </c:pt>
                <c:pt idx="258">
                  <c:v>0.14299999999999999</c:v>
                </c:pt>
                <c:pt idx="259">
                  <c:v>7.0000000000000001E-3</c:v>
                </c:pt>
                <c:pt idx="260">
                  <c:v>0.13500000000000001</c:v>
                </c:pt>
                <c:pt idx="261">
                  <c:v>0.16900000000000001</c:v>
                </c:pt>
                <c:pt idx="262">
                  <c:v>8.5999999999999993E-2</c:v>
                </c:pt>
                <c:pt idx="263">
                  <c:v>0.217</c:v>
                </c:pt>
                <c:pt idx="264">
                  <c:v>9.4E-2</c:v>
                </c:pt>
                <c:pt idx="265">
                  <c:v>0.21099999999999999</c:v>
                </c:pt>
                <c:pt idx="266">
                  <c:v>0.17</c:v>
                </c:pt>
                <c:pt idx="267">
                  <c:v>2.5999999999999999E-2</c:v>
                </c:pt>
                <c:pt idx="268">
                  <c:v>0.106</c:v>
                </c:pt>
                <c:pt idx="269">
                  <c:v>0.13900000000000001</c:v>
                </c:pt>
                <c:pt idx="270">
                  <c:v>0.19800000000000001</c:v>
                </c:pt>
                <c:pt idx="271">
                  <c:v>0.111</c:v>
                </c:pt>
                <c:pt idx="272">
                  <c:v>5.1999999999999998E-2</c:v>
                </c:pt>
                <c:pt idx="273">
                  <c:v>0.153</c:v>
                </c:pt>
                <c:pt idx="274">
                  <c:v>0.14099999999999999</c:v>
                </c:pt>
                <c:pt idx="275">
                  <c:v>0.247</c:v>
                </c:pt>
                <c:pt idx="276">
                  <c:v>0.13</c:v>
                </c:pt>
                <c:pt idx="277">
                  <c:v>0</c:v>
                </c:pt>
                <c:pt idx="278">
                  <c:v>0.21299999999999999</c:v>
                </c:pt>
                <c:pt idx="279">
                  <c:v>4.0000000000000001E-3</c:v>
                </c:pt>
                <c:pt idx="280">
                  <c:v>6.9000000000000006E-2</c:v>
                </c:pt>
                <c:pt idx="281">
                  <c:v>5.0999999999999997E-2</c:v>
                </c:pt>
                <c:pt idx="282">
                  <c:v>7.0000000000000007E-2</c:v>
                </c:pt>
                <c:pt idx="283">
                  <c:v>0.122</c:v>
                </c:pt>
                <c:pt idx="284">
                  <c:v>8.9999999999999993E-3</c:v>
                </c:pt>
                <c:pt idx="285">
                  <c:v>0.14000000000000001</c:v>
                </c:pt>
                <c:pt idx="286">
                  <c:v>0.183</c:v>
                </c:pt>
                <c:pt idx="287">
                  <c:v>0.17399999999999999</c:v>
                </c:pt>
                <c:pt idx="288">
                  <c:v>0.27300000000000002</c:v>
                </c:pt>
                <c:pt idx="289">
                  <c:v>0.28399999999999997</c:v>
                </c:pt>
                <c:pt idx="290">
                  <c:v>3.2000000000000001E-2</c:v>
                </c:pt>
                <c:pt idx="291">
                  <c:v>0</c:v>
                </c:pt>
                <c:pt idx="292">
                  <c:v>9.6000000000000002E-2</c:v>
                </c:pt>
                <c:pt idx="293">
                  <c:v>0.11899999999999999</c:v>
                </c:pt>
                <c:pt idx="294">
                  <c:v>0.214</c:v>
                </c:pt>
                <c:pt idx="295">
                  <c:v>0.17100000000000001</c:v>
                </c:pt>
                <c:pt idx="296">
                  <c:v>3.5999999999999997E-2</c:v>
                </c:pt>
                <c:pt idx="297">
                  <c:v>0.10199999999999999</c:v>
                </c:pt>
                <c:pt idx="298">
                  <c:v>0.114</c:v>
                </c:pt>
                <c:pt idx="299">
                  <c:v>0.11700000000000001</c:v>
                </c:pt>
                <c:pt idx="300">
                  <c:v>0.14099999999999999</c:v>
                </c:pt>
                <c:pt idx="301">
                  <c:v>7.3999999999999996E-2</c:v>
                </c:pt>
                <c:pt idx="302">
                  <c:v>0.13800000000000001</c:v>
                </c:pt>
                <c:pt idx="303">
                  <c:v>0.19800000000000001</c:v>
                </c:pt>
                <c:pt idx="304">
                  <c:v>0.183</c:v>
                </c:pt>
                <c:pt idx="305">
                  <c:v>4.7E-2</c:v>
                </c:pt>
                <c:pt idx="306">
                  <c:v>0.14599999999999999</c:v>
                </c:pt>
                <c:pt idx="307">
                  <c:v>7.4999999999999997E-2</c:v>
                </c:pt>
                <c:pt idx="308">
                  <c:v>0.154</c:v>
                </c:pt>
                <c:pt idx="309">
                  <c:v>0.16700000000000001</c:v>
                </c:pt>
                <c:pt idx="310">
                  <c:v>0.2</c:v>
                </c:pt>
                <c:pt idx="311">
                  <c:v>0.14199999999999999</c:v>
                </c:pt>
                <c:pt idx="312">
                  <c:v>2.1000000000000001E-2</c:v>
                </c:pt>
                <c:pt idx="313">
                  <c:v>0.183</c:v>
                </c:pt>
                <c:pt idx="314">
                  <c:v>9.0999999999999998E-2</c:v>
                </c:pt>
                <c:pt idx="315">
                  <c:v>0.108</c:v>
                </c:pt>
                <c:pt idx="316">
                  <c:v>0.17399999999999999</c:v>
                </c:pt>
                <c:pt idx="317">
                  <c:v>0</c:v>
                </c:pt>
                <c:pt idx="318">
                  <c:v>0.215</c:v>
                </c:pt>
                <c:pt idx="319">
                  <c:v>0.16500000000000001</c:v>
                </c:pt>
              </c:numCache>
            </c:numRef>
          </c:xVal>
          <c:yVal>
            <c:numRef>
              <c:f>'Multiple Regression'!$C$28:$C$347</c:f>
              <c:numCache>
                <c:formatCode>General</c:formatCode>
                <c:ptCount val="320"/>
                <c:pt idx="0">
                  <c:v>-100420.62684002204</c:v>
                </c:pt>
                <c:pt idx="1">
                  <c:v>-89652.887418913539</c:v>
                </c:pt>
                <c:pt idx="2">
                  <c:v>-87785.883133220486</c:v>
                </c:pt>
                <c:pt idx="3">
                  <c:v>-113977.41900166171</c:v>
                </c:pt>
                <c:pt idx="4">
                  <c:v>-17895.154641028377</c:v>
                </c:pt>
                <c:pt idx="5">
                  <c:v>-34884.97007738275</c:v>
                </c:pt>
                <c:pt idx="6">
                  <c:v>4279.6720102805411</c:v>
                </c:pt>
                <c:pt idx="7">
                  <c:v>92092.816952184774</c:v>
                </c:pt>
                <c:pt idx="8">
                  <c:v>95147.280791831086</c:v>
                </c:pt>
                <c:pt idx="9">
                  <c:v>-747.01342221722007</c:v>
                </c:pt>
                <c:pt idx="10">
                  <c:v>-9179.3333604729269</c:v>
                </c:pt>
                <c:pt idx="11">
                  <c:v>52459.205559065216</c:v>
                </c:pt>
                <c:pt idx="12">
                  <c:v>17696.363287678687</c:v>
                </c:pt>
                <c:pt idx="13">
                  <c:v>-65551.453624979476</c:v>
                </c:pt>
                <c:pt idx="14">
                  <c:v>-4262.5472104754299</c:v>
                </c:pt>
                <c:pt idx="15">
                  <c:v>-22561.315595235559</c:v>
                </c:pt>
                <c:pt idx="16">
                  <c:v>-30034.999787871726</c:v>
                </c:pt>
                <c:pt idx="17">
                  <c:v>-30888.896363610402</c:v>
                </c:pt>
                <c:pt idx="18">
                  <c:v>-13229.856280150358</c:v>
                </c:pt>
                <c:pt idx="19">
                  <c:v>-9068.6514413498808</c:v>
                </c:pt>
                <c:pt idx="20">
                  <c:v>-97318.287440096785</c:v>
                </c:pt>
                <c:pt idx="21">
                  <c:v>-6074.5612942008884</c:v>
                </c:pt>
                <c:pt idx="22">
                  <c:v>4859.6868681036867</c:v>
                </c:pt>
                <c:pt idx="23">
                  <c:v>22391.867634382681</c:v>
                </c:pt>
                <c:pt idx="24">
                  <c:v>-794.35043710807804</c:v>
                </c:pt>
                <c:pt idx="25">
                  <c:v>-97599.295824801433</c:v>
                </c:pt>
                <c:pt idx="26">
                  <c:v>8427.1855978944805</c:v>
                </c:pt>
                <c:pt idx="27">
                  <c:v>-4641.4888685437618</c:v>
                </c:pt>
                <c:pt idx="28">
                  <c:v>-93313.799461466202</c:v>
                </c:pt>
                <c:pt idx="29">
                  <c:v>179.74964938976336</c:v>
                </c:pt>
                <c:pt idx="30">
                  <c:v>-26123.300982835004</c:v>
                </c:pt>
                <c:pt idx="31">
                  <c:v>-73462.144224243064</c:v>
                </c:pt>
                <c:pt idx="32">
                  <c:v>-124322.23204522603</c:v>
                </c:pt>
                <c:pt idx="33">
                  <c:v>-75029.317425237619</c:v>
                </c:pt>
                <c:pt idx="34">
                  <c:v>-3644.0343461587327</c:v>
                </c:pt>
                <c:pt idx="35">
                  <c:v>8052.1281186901033</c:v>
                </c:pt>
                <c:pt idx="36">
                  <c:v>42225.781117661973</c:v>
                </c:pt>
                <c:pt idx="37">
                  <c:v>-15524.762027428718</c:v>
                </c:pt>
                <c:pt idx="38">
                  <c:v>-10121.594455058337</c:v>
                </c:pt>
                <c:pt idx="39">
                  <c:v>35795.346234190743</c:v>
                </c:pt>
                <c:pt idx="40">
                  <c:v>38380.134007601766</c:v>
                </c:pt>
                <c:pt idx="41">
                  <c:v>-19719.450929026818</c:v>
                </c:pt>
                <c:pt idx="42">
                  <c:v>74298.945500782807</c:v>
                </c:pt>
                <c:pt idx="43">
                  <c:v>6564.3751155552454</c:v>
                </c:pt>
                <c:pt idx="44">
                  <c:v>-144549.59982507746</c:v>
                </c:pt>
                <c:pt idx="45">
                  <c:v>-16349.862719950033</c:v>
                </c:pt>
                <c:pt idx="46">
                  <c:v>25516.588189551025</c:v>
                </c:pt>
                <c:pt idx="47">
                  <c:v>-217.26740525965579</c:v>
                </c:pt>
                <c:pt idx="48">
                  <c:v>3866.6653514152858</c:v>
                </c:pt>
                <c:pt idx="49">
                  <c:v>-24777.193410099484</c:v>
                </c:pt>
                <c:pt idx="50">
                  <c:v>-5653.5018245971296</c:v>
                </c:pt>
                <c:pt idx="51">
                  <c:v>58403.002128602006</c:v>
                </c:pt>
                <c:pt idx="52">
                  <c:v>-113810.94625542732</c:v>
                </c:pt>
                <c:pt idx="53">
                  <c:v>43988.843817234156</c:v>
                </c:pt>
                <c:pt idx="54">
                  <c:v>38048.77017331461</c:v>
                </c:pt>
                <c:pt idx="55">
                  <c:v>-47862.719327041821</c:v>
                </c:pt>
                <c:pt idx="56">
                  <c:v>11957.694344255025</c:v>
                </c:pt>
                <c:pt idx="57">
                  <c:v>-52486.556184690562</c:v>
                </c:pt>
                <c:pt idx="58">
                  <c:v>-45087.89719693712</c:v>
                </c:pt>
                <c:pt idx="59">
                  <c:v>-49491.180917392252</c:v>
                </c:pt>
                <c:pt idx="60">
                  <c:v>87497.284771312843</c:v>
                </c:pt>
                <c:pt idx="61">
                  <c:v>44018.184945800807</c:v>
                </c:pt>
                <c:pt idx="62">
                  <c:v>-8552.3288417842705</c:v>
                </c:pt>
                <c:pt idx="63">
                  <c:v>54932.249868366285</c:v>
                </c:pt>
                <c:pt idx="64">
                  <c:v>-8336.2901795608923</c:v>
                </c:pt>
                <c:pt idx="65">
                  <c:v>-8414.9099775097566</c:v>
                </c:pt>
                <c:pt idx="66">
                  <c:v>-133693.52211727703</c:v>
                </c:pt>
                <c:pt idx="67">
                  <c:v>9746.4698780517792</c:v>
                </c:pt>
                <c:pt idx="68">
                  <c:v>68807.360417435411</c:v>
                </c:pt>
                <c:pt idx="69">
                  <c:v>-45280.2831562598</c:v>
                </c:pt>
                <c:pt idx="70">
                  <c:v>42147.909705571597</c:v>
                </c:pt>
                <c:pt idx="71">
                  <c:v>26955.360515957815</c:v>
                </c:pt>
                <c:pt idx="72">
                  <c:v>-14838.505855177413</c:v>
                </c:pt>
                <c:pt idx="73">
                  <c:v>-57674.953360357904</c:v>
                </c:pt>
                <c:pt idx="74">
                  <c:v>91369.553499722038</c:v>
                </c:pt>
                <c:pt idx="75">
                  <c:v>-49235.683655404369</c:v>
                </c:pt>
                <c:pt idx="76">
                  <c:v>-40151.451702238992</c:v>
                </c:pt>
                <c:pt idx="77">
                  <c:v>30000.159458805807</c:v>
                </c:pt>
                <c:pt idx="78">
                  <c:v>45534.429171196185</c:v>
                </c:pt>
                <c:pt idx="79">
                  <c:v>-34613.129517767578</c:v>
                </c:pt>
                <c:pt idx="80">
                  <c:v>-28302.230039484566</c:v>
                </c:pt>
                <c:pt idx="81">
                  <c:v>57573.135636606719</c:v>
                </c:pt>
                <c:pt idx="82">
                  <c:v>81387.092101865914</c:v>
                </c:pt>
                <c:pt idx="83">
                  <c:v>-3875.4113843631931</c:v>
                </c:pt>
                <c:pt idx="84">
                  <c:v>2561.995789917768</c:v>
                </c:pt>
                <c:pt idx="85">
                  <c:v>-19676.381259778864</c:v>
                </c:pt>
                <c:pt idx="86">
                  <c:v>-10998.499357024324</c:v>
                </c:pt>
                <c:pt idx="87">
                  <c:v>-15030.3257497882</c:v>
                </c:pt>
                <c:pt idx="88">
                  <c:v>16309.558481779066</c:v>
                </c:pt>
                <c:pt idx="89">
                  <c:v>-118183.91577245318</c:v>
                </c:pt>
                <c:pt idx="90">
                  <c:v>44750.795408065547</c:v>
                </c:pt>
                <c:pt idx="91">
                  <c:v>26145.931442624191</c:v>
                </c:pt>
                <c:pt idx="92">
                  <c:v>-7234.879779844312</c:v>
                </c:pt>
                <c:pt idx="93">
                  <c:v>44675.249277184019</c:v>
                </c:pt>
                <c:pt idx="94">
                  <c:v>64210.709993797704</c:v>
                </c:pt>
                <c:pt idx="95">
                  <c:v>-14378.964138212148</c:v>
                </c:pt>
                <c:pt idx="96">
                  <c:v>6711.4812516295351</c:v>
                </c:pt>
                <c:pt idx="97">
                  <c:v>73427.061644917238</c:v>
                </c:pt>
                <c:pt idx="98">
                  <c:v>-4506.1932534069056</c:v>
                </c:pt>
                <c:pt idx="99">
                  <c:v>37296.379545412841</c:v>
                </c:pt>
                <c:pt idx="100">
                  <c:v>61589.492777783307</c:v>
                </c:pt>
                <c:pt idx="101">
                  <c:v>-20858.723325389903</c:v>
                </c:pt>
                <c:pt idx="102">
                  <c:v>20449.065187108237</c:v>
                </c:pt>
                <c:pt idx="103">
                  <c:v>110622.55521620996</c:v>
                </c:pt>
                <c:pt idx="104">
                  <c:v>8272.9319939650595</c:v>
                </c:pt>
                <c:pt idx="105">
                  <c:v>-4200.6450870366534</c:v>
                </c:pt>
                <c:pt idx="106">
                  <c:v>84425.960055753472</c:v>
                </c:pt>
                <c:pt idx="107">
                  <c:v>-18428.198063588003</c:v>
                </c:pt>
                <c:pt idx="108">
                  <c:v>-596.58455591415986</c:v>
                </c:pt>
                <c:pt idx="109">
                  <c:v>22444.779510559631</c:v>
                </c:pt>
                <c:pt idx="110">
                  <c:v>-11798.607170544565</c:v>
                </c:pt>
                <c:pt idx="111">
                  <c:v>118024.08845192799</c:v>
                </c:pt>
                <c:pt idx="112">
                  <c:v>8218.3655582031934</c:v>
                </c:pt>
                <c:pt idx="113">
                  <c:v>61570.893393078935</c:v>
                </c:pt>
                <c:pt idx="114">
                  <c:v>-51176.695722335484</c:v>
                </c:pt>
                <c:pt idx="115">
                  <c:v>-24304.396525362041</c:v>
                </c:pt>
                <c:pt idx="116">
                  <c:v>4881.5419769196305</c:v>
                </c:pt>
                <c:pt idx="117">
                  <c:v>70872.963595701847</c:v>
                </c:pt>
                <c:pt idx="118">
                  <c:v>-52640.460269912845</c:v>
                </c:pt>
                <c:pt idx="119">
                  <c:v>16470.52751990268</c:v>
                </c:pt>
                <c:pt idx="120">
                  <c:v>-66227.278298011573</c:v>
                </c:pt>
                <c:pt idx="121">
                  <c:v>31614.887451365008</c:v>
                </c:pt>
                <c:pt idx="122">
                  <c:v>-44158.473568045767</c:v>
                </c:pt>
                <c:pt idx="123">
                  <c:v>-29501.405436247936</c:v>
                </c:pt>
                <c:pt idx="124">
                  <c:v>102244.73807574366</c:v>
                </c:pt>
                <c:pt idx="125">
                  <c:v>31114.454439741792</c:v>
                </c:pt>
                <c:pt idx="126">
                  <c:v>70336.520148017211</c:v>
                </c:pt>
                <c:pt idx="127">
                  <c:v>-17556.995358125656</c:v>
                </c:pt>
                <c:pt idx="128">
                  <c:v>25592.959082807763</c:v>
                </c:pt>
                <c:pt idx="129">
                  <c:v>-17557.730398292071</c:v>
                </c:pt>
                <c:pt idx="130">
                  <c:v>-46832.44180727168</c:v>
                </c:pt>
                <c:pt idx="131">
                  <c:v>-24216.966919748345</c:v>
                </c:pt>
                <c:pt idx="132">
                  <c:v>-52030.750280288747</c:v>
                </c:pt>
                <c:pt idx="133">
                  <c:v>-72050.414505830442</c:v>
                </c:pt>
                <c:pt idx="134">
                  <c:v>15702.340170343174</c:v>
                </c:pt>
                <c:pt idx="135">
                  <c:v>-4986.1347896574298</c:v>
                </c:pt>
                <c:pt idx="136">
                  <c:v>-112247.72903956869</c:v>
                </c:pt>
                <c:pt idx="137">
                  <c:v>51078.728030106402</c:v>
                </c:pt>
                <c:pt idx="138">
                  <c:v>69017.015106998384</c:v>
                </c:pt>
                <c:pt idx="139">
                  <c:v>25149.398806963698</c:v>
                </c:pt>
                <c:pt idx="140">
                  <c:v>47704.973410718259</c:v>
                </c:pt>
                <c:pt idx="141">
                  <c:v>26767.927093807724</c:v>
                </c:pt>
                <c:pt idx="142">
                  <c:v>34502.026257431135</c:v>
                </c:pt>
                <c:pt idx="143">
                  <c:v>35054.405212786398</c:v>
                </c:pt>
                <c:pt idx="144">
                  <c:v>-36462.659379157354</c:v>
                </c:pt>
                <c:pt idx="145">
                  <c:v>-25582.46000531665</c:v>
                </c:pt>
                <c:pt idx="146">
                  <c:v>7495.2333483960247</c:v>
                </c:pt>
                <c:pt idx="147">
                  <c:v>-4778.9537662650691</c:v>
                </c:pt>
                <c:pt idx="148">
                  <c:v>-23595.820151095162</c:v>
                </c:pt>
                <c:pt idx="149">
                  <c:v>43357.226346171228</c:v>
                </c:pt>
                <c:pt idx="150">
                  <c:v>61498.041608201806</c:v>
                </c:pt>
                <c:pt idx="151">
                  <c:v>58907.413825458381</c:v>
                </c:pt>
                <c:pt idx="152">
                  <c:v>-9251.4639504638035</c:v>
                </c:pt>
                <c:pt idx="153">
                  <c:v>9756.5804077145876</c:v>
                </c:pt>
                <c:pt idx="154">
                  <c:v>-32318.817933423561</c:v>
                </c:pt>
                <c:pt idx="155">
                  <c:v>7848.3216818774818</c:v>
                </c:pt>
                <c:pt idx="156">
                  <c:v>-13575.113015280222</c:v>
                </c:pt>
                <c:pt idx="157">
                  <c:v>-21019.201434904826</c:v>
                </c:pt>
                <c:pt idx="158">
                  <c:v>33757.877881731489</c:v>
                </c:pt>
                <c:pt idx="159">
                  <c:v>75231.325101392576</c:v>
                </c:pt>
                <c:pt idx="160">
                  <c:v>-35637.521894251695</c:v>
                </c:pt>
                <c:pt idx="161">
                  <c:v>87276.962690469343</c:v>
                </c:pt>
                <c:pt idx="162">
                  <c:v>-44854.762046281598</c:v>
                </c:pt>
                <c:pt idx="163">
                  <c:v>15100.517932407209</c:v>
                </c:pt>
                <c:pt idx="164">
                  <c:v>40455.736030117609</c:v>
                </c:pt>
                <c:pt idx="165">
                  <c:v>-22227.856196966721</c:v>
                </c:pt>
                <c:pt idx="166">
                  <c:v>1883.1822863548296</c:v>
                </c:pt>
                <c:pt idx="167">
                  <c:v>21568.893398693646</c:v>
                </c:pt>
                <c:pt idx="168">
                  <c:v>-37602.417123343446</c:v>
                </c:pt>
                <c:pt idx="169">
                  <c:v>-93479.137994827353</c:v>
                </c:pt>
                <c:pt idx="170">
                  <c:v>21172.985029219068</c:v>
                </c:pt>
                <c:pt idx="171">
                  <c:v>-13181.655866858782</c:v>
                </c:pt>
                <c:pt idx="172">
                  <c:v>22400.435171063291</c:v>
                </c:pt>
                <c:pt idx="173">
                  <c:v>-41072.761585849803</c:v>
                </c:pt>
                <c:pt idx="174">
                  <c:v>-42245.076625697548</c:v>
                </c:pt>
                <c:pt idx="175">
                  <c:v>-6758.0980688635027</c:v>
                </c:pt>
                <c:pt idx="176">
                  <c:v>-14744.362538438174</c:v>
                </c:pt>
                <c:pt idx="177">
                  <c:v>85141.562745622708</c:v>
                </c:pt>
                <c:pt idx="178">
                  <c:v>27073.029137542238</c:v>
                </c:pt>
                <c:pt idx="179">
                  <c:v>63702.726232068148</c:v>
                </c:pt>
                <c:pt idx="180">
                  <c:v>-11547.526648097089</c:v>
                </c:pt>
                <c:pt idx="181">
                  <c:v>-13946.250712551409</c:v>
                </c:pt>
                <c:pt idx="182">
                  <c:v>-44614.103978902218</c:v>
                </c:pt>
                <c:pt idx="183">
                  <c:v>-15262.763380505843</c:v>
                </c:pt>
                <c:pt idx="184">
                  <c:v>-2060.2338846030179</c:v>
                </c:pt>
                <c:pt idx="185">
                  <c:v>47032.076293993043</c:v>
                </c:pt>
                <c:pt idx="186">
                  <c:v>94247.49163861631</c:v>
                </c:pt>
                <c:pt idx="187">
                  <c:v>-32408.002826419775</c:v>
                </c:pt>
                <c:pt idx="188">
                  <c:v>22572.674996765913</c:v>
                </c:pt>
                <c:pt idx="189">
                  <c:v>10788.864672538242</c:v>
                </c:pt>
                <c:pt idx="190">
                  <c:v>-23485.799719653907</c:v>
                </c:pt>
                <c:pt idx="191">
                  <c:v>-44745.957731283386</c:v>
                </c:pt>
                <c:pt idx="192">
                  <c:v>-57108.648873547674</c:v>
                </c:pt>
                <c:pt idx="193">
                  <c:v>-20500.407725128811</c:v>
                </c:pt>
                <c:pt idx="194">
                  <c:v>-20107.203182502883</c:v>
                </c:pt>
                <c:pt idx="195">
                  <c:v>-97550.900879935769</c:v>
                </c:pt>
                <c:pt idx="196">
                  <c:v>47327.971045484301</c:v>
                </c:pt>
                <c:pt idx="197">
                  <c:v>-35763.481345176115</c:v>
                </c:pt>
                <c:pt idx="198">
                  <c:v>-30345.090562100057</c:v>
                </c:pt>
                <c:pt idx="199">
                  <c:v>91318.062491319026</c:v>
                </c:pt>
                <c:pt idx="200">
                  <c:v>-19708.400209581712</c:v>
                </c:pt>
                <c:pt idx="201">
                  <c:v>93450.981729638996</c:v>
                </c:pt>
                <c:pt idx="202">
                  <c:v>-65835.470778974355</c:v>
                </c:pt>
                <c:pt idx="203">
                  <c:v>-17017.987621743814</c:v>
                </c:pt>
                <c:pt idx="204">
                  <c:v>4195.4842225813773</c:v>
                </c:pt>
                <c:pt idx="205">
                  <c:v>74601.308650100487</c:v>
                </c:pt>
                <c:pt idx="206">
                  <c:v>-73971.962073270115</c:v>
                </c:pt>
                <c:pt idx="207">
                  <c:v>-60917.856760576484</c:v>
                </c:pt>
                <c:pt idx="208">
                  <c:v>2761.0240973115433</c:v>
                </c:pt>
                <c:pt idx="209">
                  <c:v>-86878.807167985477</c:v>
                </c:pt>
                <c:pt idx="210">
                  <c:v>-9646.0524120699847</c:v>
                </c:pt>
                <c:pt idx="211">
                  <c:v>-17572.370198919089</c:v>
                </c:pt>
                <c:pt idx="212">
                  <c:v>28607.959789365181</c:v>
                </c:pt>
                <c:pt idx="213">
                  <c:v>40092.945245480165</c:v>
                </c:pt>
                <c:pt idx="214">
                  <c:v>-26211.698213939555</c:v>
                </c:pt>
                <c:pt idx="215">
                  <c:v>4602.4661483311793</c:v>
                </c:pt>
                <c:pt idx="216">
                  <c:v>21456.206849293085</c:v>
                </c:pt>
                <c:pt idx="217">
                  <c:v>33476.115296774195</c:v>
                </c:pt>
                <c:pt idx="218">
                  <c:v>72577.241034327424</c:v>
                </c:pt>
                <c:pt idx="219">
                  <c:v>38080.233963117353</c:v>
                </c:pt>
                <c:pt idx="220">
                  <c:v>15473.864594966522</c:v>
                </c:pt>
                <c:pt idx="221">
                  <c:v>-3231.0537468598923</c:v>
                </c:pt>
                <c:pt idx="222">
                  <c:v>-1969.7670809662668</c:v>
                </c:pt>
                <c:pt idx="223">
                  <c:v>-55736.270895127207</c:v>
                </c:pt>
                <c:pt idx="224">
                  <c:v>19067.147731530364</c:v>
                </c:pt>
                <c:pt idx="225">
                  <c:v>-18270.753516446915</c:v>
                </c:pt>
                <c:pt idx="226">
                  <c:v>-40220.989072596654</c:v>
                </c:pt>
                <c:pt idx="227">
                  <c:v>42684.485596942774</c:v>
                </c:pt>
                <c:pt idx="228">
                  <c:v>-69398.655618409044</c:v>
                </c:pt>
                <c:pt idx="229">
                  <c:v>54424.580247317557</c:v>
                </c:pt>
                <c:pt idx="230">
                  <c:v>-49728.630330819637</c:v>
                </c:pt>
                <c:pt idx="231">
                  <c:v>30734.517612631316</c:v>
                </c:pt>
                <c:pt idx="232">
                  <c:v>52639.325475548976</c:v>
                </c:pt>
                <c:pt idx="233">
                  <c:v>71051.178042954765</c:v>
                </c:pt>
                <c:pt idx="234">
                  <c:v>-24858.489143541432</c:v>
                </c:pt>
                <c:pt idx="235">
                  <c:v>4884.9312689661747</c:v>
                </c:pt>
                <c:pt idx="236">
                  <c:v>-68338.816090602661</c:v>
                </c:pt>
                <c:pt idx="237">
                  <c:v>-13452.776181930793</c:v>
                </c:pt>
                <c:pt idx="238">
                  <c:v>-27792.87307217333</c:v>
                </c:pt>
                <c:pt idx="239">
                  <c:v>-3621.3628322615987</c:v>
                </c:pt>
                <c:pt idx="240">
                  <c:v>47752.429159113439</c:v>
                </c:pt>
                <c:pt idx="241">
                  <c:v>28837.988218099112</c:v>
                </c:pt>
                <c:pt idx="242">
                  <c:v>18697.130349543761</c:v>
                </c:pt>
                <c:pt idx="243">
                  <c:v>29349.246219854336</c:v>
                </c:pt>
                <c:pt idx="244">
                  <c:v>17800.435509618372</c:v>
                </c:pt>
                <c:pt idx="245">
                  <c:v>-1567.870157953701</c:v>
                </c:pt>
                <c:pt idx="246">
                  <c:v>-19208.739816944464</c:v>
                </c:pt>
                <c:pt idx="247">
                  <c:v>-1264.8752229106613</c:v>
                </c:pt>
                <c:pt idx="248">
                  <c:v>39205.290238046087</c:v>
                </c:pt>
                <c:pt idx="249">
                  <c:v>-35658.241440274986</c:v>
                </c:pt>
                <c:pt idx="250">
                  <c:v>12049.447367619839</c:v>
                </c:pt>
                <c:pt idx="251">
                  <c:v>-7574.6535088893725</c:v>
                </c:pt>
                <c:pt idx="252">
                  <c:v>44440.011905524065</c:v>
                </c:pt>
                <c:pt idx="253">
                  <c:v>98905.760182968224</c:v>
                </c:pt>
                <c:pt idx="254">
                  <c:v>45933.026480561472</c:v>
                </c:pt>
                <c:pt idx="255">
                  <c:v>-27377.195213678177</c:v>
                </c:pt>
                <c:pt idx="256">
                  <c:v>92070.70021103078</c:v>
                </c:pt>
                <c:pt idx="257">
                  <c:v>16904.243426369154</c:v>
                </c:pt>
                <c:pt idx="258">
                  <c:v>14467.488296378986</c:v>
                </c:pt>
                <c:pt idx="259">
                  <c:v>65790.93869975768</c:v>
                </c:pt>
                <c:pt idx="260">
                  <c:v>7337.3124809980509</c:v>
                </c:pt>
                <c:pt idx="261">
                  <c:v>-3747.9274962609634</c:v>
                </c:pt>
                <c:pt idx="262">
                  <c:v>47511.418596534175</c:v>
                </c:pt>
                <c:pt idx="263">
                  <c:v>39389.065845469362</c:v>
                </c:pt>
                <c:pt idx="264">
                  <c:v>139.94007491623051</c:v>
                </c:pt>
                <c:pt idx="265">
                  <c:v>25826.005803710665</c:v>
                </c:pt>
                <c:pt idx="266">
                  <c:v>24523.43772083777</c:v>
                </c:pt>
                <c:pt idx="267">
                  <c:v>40337.600188660203</c:v>
                </c:pt>
                <c:pt idx="268">
                  <c:v>-59947.526895461022</c:v>
                </c:pt>
                <c:pt idx="269">
                  <c:v>51111.620341348927</c:v>
                </c:pt>
                <c:pt idx="270">
                  <c:v>429.73259897658136</c:v>
                </c:pt>
                <c:pt idx="271">
                  <c:v>-84377.524289424182</c:v>
                </c:pt>
                <c:pt idx="272">
                  <c:v>-13471.097186358878</c:v>
                </c:pt>
                <c:pt idx="273">
                  <c:v>28849.685380332987</c:v>
                </c:pt>
                <c:pt idx="274">
                  <c:v>-14129.355007054401</c:v>
                </c:pt>
                <c:pt idx="275">
                  <c:v>52566.585893198266</c:v>
                </c:pt>
                <c:pt idx="276">
                  <c:v>-77388.773241001065</c:v>
                </c:pt>
                <c:pt idx="277">
                  <c:v>23851.775322349393</c:v>
                </c:pt>
                <c:pt idx="278">
                  <c:v>2983.0656973925652</c:v>
                </c:pt>
                <c:pt idx="279">
                  <c:v>-28463.419700780418</c:v>
                </c:pt>
                <c:pt idx="280">
                  <c:v>-60493.106587629649</c:v>
                </c:pt>
                <c:pt idx="281">
                  <c:v>-29900.422214305378</c:v>
                </c:pt>
                <c:pt idx="282">
                  <c:v>48009.709150260082</c:v>
                </c:pt>
                <c:pt idx="283">
                  <c:v>-18759.700523993641</c:v>
                </c:pt>
                <c:pt idx="284">
                  <c:v>-32259.333672619658</c:v>
                </c:pt>
                <c:pt idx="285">
                  <c:v>-4672.8957497277297</c:v>
                </c:pt>
                <c:pt idx="286">
                  <c:v>8787.2117596552707</c:v>
                </c:pt>
                <c:pt idx="287">
                  <c:v>-35142.503967028228</c:v>
                </c:pt>
                <c:pt idx="288">
                  <c:v>-15051.601509919623</c:v>
                </c:pt>
                <c:pt idx="289">
                  <c:v>-22825.745456776116</c:v>
                </c:pt>
                <c:pt idx="290">
                  <c:v>68774.858669982408</c:v>
                </c:pt>
                <c:pt idx="291">
                  <c:v>-1436.6848989963764</c:v>
                </c:pt>
                <c:pt idx="292">
                  <c:v>-47793.572075212956</c:v>
                </c:pt>
                <c:pt idx="293">
                  <c:v>4212.1285358224995</c:v>
                </c:pt>
                <c:pt idx="294">
                  <c:v>-6133.8746401900426</c:v>
                </c:pt>
                <c:pt idx="295">
                  <c:v>-799.71863514737925</c:v>
                </c:pt>
                <c:pt idx="296">
                  <c:v>-4181.0841077562654</c:v>
                </c:pt>
                <c:pt idx="297">
                  <c:v>96270.76779247995</c:v>
                </c:pt>
                <c:pt idx="298">
                  <c:v>-22496.303821725189</c:v>
                </c:pt>
                <c:pt idx="299">
                  <c:v>-79524.395955139771</c:v>
                </c:pt>
                <c:pt idx="300">
                  <c:v>-11161.587083385559</c:v>
                </c:pt>
                <c:pt idx="301">
                  <c:v>-14283.933424172457</c:v>
                </c:pt>
                <c:pt idx="302">
                  <c:v>1238.8354464733275</c:v>
                </c:pt>
                <c:pt idx="303">
                  <c:v>82810.744723305805</c:v>
                </c:pt>
                <c:pt idx="304">
                  <c:v>58099.140107549494</c:v>
                </c:pt>
                <c:pt idx="305">
                  <c:v>-109011.64818553219</c:v>
                </c:pt>
                <c:pt idx="306">
                  <c:v>37068.107775875484</c:v>
                </c:pt>
                <c:pt idx="307">
                  <c:v>-30252.584166878019</c:v>
                </c:pt>
                <c:pt idx="308">
                  <c:v>-10501.380426026997</c:v>
                </c:pt>
                <c:pt idx="309">
                  <c:v>-57283.974379246705</c:v>
                </c:pt>
                <c:pt idx="310">
                  <c:v>-9043.1605746934656</c:v>
                </c:pt>
                <c:pt idx="311">
                  <c:v>30567.014507002896</c:v>
                </c:pt>
                <c:pt idx="312">
                  <c:v>2942.4581866859226</c:v>
                </c:pt>
                <c:pt idx="313">
                  <c:v>-20484.278121933225</c:v>
                </c:pt>
                <c:pt idx="314">
                  <c:v>43694.416815164499</c:v>
                </c:pt>
                <c:pt idx="315">
                  <c:v>39890.897755862214</c:v>
                </c:pt>
                <c:pt idx="316">
                  <c:v>-44997.595803038217</c:v>
                </c:pt>
                <c:pt idx="317">
                  <c:v>-11137.38290306821</c:v>
                </c:pt>
                <c:pt idx="318">
                  <c:v>-12564.759253064869</c:v>
                </c:pt>
                <c:pt idx="319">
                  <c:v>-54568.032199176028</c:v>
                </c:pt>
              </c:numCache>
            </c:numRef>
          </c:yVal>
          <c:smooth val="0"/>
          <c:extLst>
            <c:ext xmlns:c16="http://schemas.microsoft.com/office/drawing/2014/chart" uri="{C3380CC4-5D6E-409C-BE32-E72D297353CC}">
              <c16:uniqueId val="{00000000-265E-486B-9DB3-B9C7C7AB217D}"/>
            </c:ext>
          </c:extLst>
        </c:ser>
        <c:dLbls>
          <c:showLegendKey val="0"/>
          <c:showVal val="0"/>
          <c:showCatName val="0"/>
          <c:showSerName val="0"/>
          <c:showPercent val="0"/>
          <c:showBubbleSize val="0"/>
        </c:dLbls>
        <c:axId val="397524600"/>
        <c:axId val="397527880"/>
      </c:scatterChart>
      <c:valAx>
        <c:axId val="397524600"/>
        <c:scaling>
          <c:orientation val="minMax"/>
        </c:scaling>
        <c:delete val="0"/>
        <c:axPos val="b"/>
        <c:title>
          <c:tx>
            <c:rich>
              <a:bodyPr/>
              <a:lstStyle/>
              <a:p>
                <a:pPr>
                  <a:defRPr/>
                </a:pPr>
                <a:r>
                  <a:rPr lang="en-IN"/>
                  <a:t>avg_discount_pct</a:t>
                </a:r>
              </a:p>
            </c:rich>
          </c:tx>
          <c:overlay val="0"/>
        </c:title>
        <c:numFmt formatCode="General" sourceLinked="1"/>
        <c:majorTickMark val="out"/>
        <c:minorTickMark val="none"/>
        <c:tickLblPos val="nextTo"/>
        <c:crossAx val="397527880"/>
        <c:crosses val="autoZero"/>
        <c:crossBetween val="midCat"/>
      </c:valAx>
      <c:valAx>
        <c:axId val="397527880"/>
        <c:scaling>
          <c:orientation val="minMax"/>
        </c:scaling>
        <c:delete val="0"/>
        <c:axPos val="l"/>
        <c:title>
          <c:tx>
            <c:rich>
              <a:bodyPr/>
              <a:lstStyle/>
              <a:p>
                <a:pPr>
                  <a:defRPr/>
                </a:pPr>
                <a:r>
                  <a:rPr lang="en-IN"/>
                  <a:t>Residuals</a:t>
                </a:r>
              </a:p>
            </c:rich>
          </c:tx>
          <c:overlay val="0"/>
        </c:title>
        <c:numFmt formatCode="General" sourceLinked="1"/>
        <c:majorTickMark val="out"/>
        <c:minorTickMark val="none"/>
        <c:tickLblPos val="nextTo"/>
        <c:crossAx val="397524600"/>
        <c:crosses val="autoZero"/>
        <c:crossBetween val="midCat"/>
      </c:valAx>
    </c:plotArea>
    <c:plotVisOnly val="1"/>
    <c:dispBlanksAs val="gap"/>
    <c:extLst>
      <c:ext xmlns:c16r3="http://schemas.microsoft.com/office/drawing/2017/03/chart" uri="{56B9EC1D-385E-4148-901F-78D8002777C0}">
        <c16r3:dataDisplayOptions16>
          <c16r3:dispNaAsBlank val="1"/>
        </c16r3:dataDisplayOptions16>
      </c:ext>
    </c:extLst>
    <c:showDLblsOverMax val="0"/>
  </c:chart>
  <c:printSettings>
    <c:headerFooter/>
    <c:pageMargins b="0.75" l="0.7" r="0.7" t="0.75" header="0.3" footer="0.3"/>
    <c:pageSetup/>
  </c:printSettings>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a:pPr>
            <a:r>
              <a:rPr lang="en-IN"/>
              <a:t>West Dummy Line Fit  Plot</a:t>
            </a:r>
          </a:p>
        </c:rich>
      </c:tx>
      <c:overlay val="0"/>
    </c:title>
    <c:autoTitleDeleted val="0"/>
    <c:plotArea>
      <c:layout/>
      <c:scatterChart>
        <c:scatterStyle val="lineMarker"/>
        <c:varyColors val="0"/>
        <c:ser>
          <c:idx val="0"/>
          <c:order val="0"/>
          <c:tx>
            <c:v>monthly_sales</c:v>
          </c:tx>
          <c:spPr>
            <a:ln w="38100">
              <a:noFill/>
            </a:ln>
          </c:spPr>
          <c:xVal>
            <c:numRef>
              <c:f>store_performance!$G$2:$G$321</c:f>
              <c:numCache>
                <c:formatCode>General</c:formatCode>
                <c:ptCount val="320"/>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pt idx="24">
                  <c:v>1</c:v>
                </c:pt>
                <c:pt idx="25">
                  <c:v>1</c:v>
                </c:pt>
                <c:pt idx="26">
                  <c:v>1</c:v>
                </c:pt>
                <c:pt idx="27">
                  <c:v>1</c:v>
                </c:pt>
                <c:pt idx="28">
                  <c:v>0</c:v>
                </c:pt>
                <c:pt idx="29">
                  <c:v>0</c:v>
                </c:pt>
                <c:pt idx="30">
                  <c:v>0</c:v>
                </c:pt>
                <c:pt idx="31">
                  <c:v>0</c:v>
                </c:pt>
                <c:pt idx="32">
                  <c:v>0</c:v>
                </c:pt>
                <c:pt idx="33">
                  <c:v>0</c:v>
                </c:pt>
                <c:pt idx="34">
                  <c:v>0</c:v>
                </c:pt>
                <c:pt idx="35">
                  <c:v>0</c:v>
                </c:pt>
                <c:pt idx="36">
                  <c:v>0</c:v>
                </c:pt>
                <c:pt idx="37">
                  <c:v>0</c:v>
                </c:pt>
                <c:pt idx="38">
                  <c:v>0</c:v>
                </c:pt>
                <c:pt idx="39">
                  <c:v>0</c:v>
                </c:pt>
                <c:pt idx="40">
                  <c:v>0</c:v>
                </c:pt>
                <c:pt idx="41">
                  <c:v>0</c:v>
                </c:pt>
                <c:pt idx="42">
                  <c:v>0</c:v>
                </c:pt>
                <c:pt idx="43">
                  <c:v>0</c:v>
                </c:pt>
                <c:pt idx="44">
                  <c:v>1</c:v>
                </c:pt>
                <c:pt idx="45">
                  <c:v>1</c:v>
                </c:pt>
                <c:pt idx="46">
                  <c:v>1</c:v>
                </c:pt>
                <c:pt idx="47">
                  <c:v>1</c:v>
                </c:pt>
                <c:pt idx="48">
                  <c:v>0</c:v>
                </c:pt>
                <c:pt idx="49">
                  <c:v>0</c:v>
                </c:pt>
                <c:pt idx="50">
                  <c:v>0</c:v>
                </c:pt>
                <c:pt idx="51">
                  <c:v>0</c:v>
                </c:pt>
                <c:pt idx="52">
                  <c:v>1</c:v>
                </c:pt>
                <c:pt idx="53">
                  <c:v>1</c:v>
                </c:pt>
                <c:pt idx="54">
                  <c:v>1</c:v>
                </c:pt>
                <c:pt idx="55">
                  <c:v>1</c:v>
                </c:pt>
                <c:pt idx="56">
                  <c:v>0</c:v>
                </c:pt>
                <c:pt idx="57">
                  <c:v>0</c:v>
                </c:pt>
                <c:pt idx="58">
                  <c:v>0</c:v>
                </c:pt>
                <c:pt idx="59">
                  <c:v>0</c:v>
                </c:pt>
                <c:pt idx="60">
                  <c:v>0</c:v>
                </c:pt>
                <c:pt idx="61">
                  <c:v>0</c:v>
                </c:pt>
                <c:pt idx="62">
                  <c:v>0</c:v>
                </c:pt>
                <c:pt idx="63">
                  <c:v>0</c:v>
                </c:pt>
                <c:pt idx="64">
                  <c:v>1</c:v>
                </c:pt>
                <c:pt idx="65">
                  <c:v>1</c:v>
                </c:pt>
                <c:pt idx="66">
                  <c:v>1</c:v>
                </c:pt>
                <c:pt idx="67">
                  <c:v>1</c:v>
                </c:pt>
                <c:pt idx="68">
                  <c:v>0</c:v>
                </c:pt>
                <c:pt idx="69">
                  <c:v>0</c:v>
                </c:pt>
                <c:pt idx="70">
                  <c:v>0</c:v>
                </c:pt>
                <c:pt idx="71">
                  <c:v>0</c:v>
                </c:pt>
                <c:pt idx="72">
                  <c:v>0</c:v>
                </c:pt>
                <c:pt idx="73">
                  <c:v>0</c:v>
                </c:pt>
                <c:pt idx="74">
                  <c:v>0</c:v>
                </c:pt>
                <c:pt idx="75">
                  <c:v>0</c:v>
                </c:pt>
                <c:pt idx="76">
                  <c:v>0</c:v>
                </c:pt>
                <c:pt idx="77">
                  <c:v>0</c:v>
                </c:pt>
                <c:pt idx="78">
                  <c:v>0</c:v>
                </c:pt>
                <c:pt idx="79">
                  <c:v>0</c:v>
                </c:pt>
                <c:pt idx="80">
                  <c:v>1</c:v>
                </c:pt>
                <c:pt idx="81">
                  <c:v>1</c:v>
                </c:pt>
                <c:pt idx="82">
                  <c:v>1</c:v>
                </c:pt>
                <c:pt idx="83">
                  <c:v>1</c:v>
                </c:pt>
                <c:pt idx="84">
                  <c:v>1</c:v>
                </c:pt>
                <c:pt idx="85">
                  <c:v>1</c:v>
                </c:pt>
                <c:pt idx="86">
                  <c:v>1</c:v>
                </c:pt>
                <c:pt idx="87">
                  <c:v>1</c:v>
                </c:pt>
                <c:pt idx="88">
                  <c:v>0</c:v>
                </c:pt>
                <c:pt idx="89">
                  <c:v>0</c:v>
                </c:pt>
                <c:pt idx="90">
                  <c:v>0</c:v>
                </c:pt>
                <c:pt idx="91">
                  <c:v>0</c:v>
                </c:pt>
                <c:pt idx="92">
                  <c:v>1</c:v>
                </c:pt>
                <c:pt idx="93">
                  <c:v>1</c:v>
                </c:pt>
                <c:pt idx="94">
                  <c:v>1</c:v>
                </c:pt>
                <c:pt idx="95">
                  <c:v>1</c:v>
                </c:pt>
                <c:pt idx="96">
                  <c:v>1</c:v>
                </c:pt>
                <c:pt idx="97">
                  <c:v>1</c:v>
                </c:pt>
                <c:pt idx="98">
                  <c:v>1</c:v>
                </c:pt>
                <c:pt idx="99">
                  <c:v>1</c:v>
                </c:pt>
                <c:pt idx="100">
                  <c:v>0</c:v>
                </c:pt>
                <c:pt idx="101">
                  <c:v>0</c:v>
                </c:pt>
                <c:pt idx="102">
                  <c:v>0</c:v>
                </c:pt>
                <c:pt idx="103">
                  <c:v>0</c:v>
                </c:pt>
                <c:pt idx="104">
                  <c:v>1</c:v>
                </c:pt>
                <c:pt idx="105">
                  <c:v>1</c:v>
                </c:pt>
                <c:pt idx="106">
                  <c:v>1</c:v>
                </c:pt>
                <c:pt idx="107">
                  <c:v>1</c:v>
                </c:pt>
                <c:pt idx="108">
                  <c:v>0</c:v>
                </c:pt>
                <c:pt idx="109">
                  <c:v>0</c:v>
                </c:pt>
                <c:pt idx="110">
                  <c:v>0</c:v>
                </c:pt>
                <c:pt idx="111">
                  <c:v>0</c:v>
                </c:pt>
                <c:pt idx="112">
                  <c:v>1</c:v>
                </c:pt>
                <c:pt idx="113">
                  <c:v>1</c:v>
                </c:pt>
                <c:pt idx="114">
                  <c:v>1</c:v>
                </c:pt>
                <c:pt idx="115">
                  <c:v>1</c:v>
                </c:pt>
                <c:pt idx="116">
                  <c:v>1</c:v>
                </c:pt>
                <c:pt idx="117">
                  <c:v>1</c:v>
                </c:pt>
                <c:pt idx="118">
                  <c:v>1</c:v>
                </c:pt>
                <c:pt idx="119">
                  <c:v>1</c:v>
                </c:pt>
                <c:pt idx="120">
                  <c:v>0</c:v>
                </c:pt>
                <c:pt idx="121">
                  <c:v>0</c:v>
                </c:pt>
                <c:pt idx="122">
                  <c:v>0</c:v>
                </c:pt>
                <c:pt idx="123">
                  <c:v>0</c:v>
                </c:pt>
                <c:pt idx="124">
                  <c:v>0</c:v>
                </c:pt>
                <c:pt idx="125">
                  <c:v>0</c:v>
                </c:pt>
                <c:pt idx="126">
                  <c:v>0</c:v>
                </c:pt>
                <c:pt idx="127">
                  <c:v>0</c:v>
                </c:pt>
                <c:pt idx="128">
                  <c:v>0</c:v>
                </c:pt>
                <c:pt idx="129">
                  <c:v>0</c:v>
                </c:pt>
                <c:pt idx="130">
                  <c:v>0</c:v>
                </c:pt>
                <c:pt idx="131">
                  <c:v>0</c:v>
                </c:pt>
                <c:pt idx="132">
                  <c:v>0</c:v>
                </c:pt>
                <c:pt idx="133">
                  <c:v>0</c:v>
                </c:pt>
                <c:pt idx="134">
                  <c:v>0</c:v>
                </c:pt>
                <c:pt idx="135">
                  <c:v>0</c:v>
                </c:pt>
                <c:pt idx="136">
                  <c:v>0</c:v>
                </c:pt>
                <c:pt idx="137">
                  <c:v>0</c:v>
                </c:pt>
                <c:pt idx="138">
                  <c:v>0</c:v>
                </c:pt>
                <c:pt idx="139">
                  <c:v>0</c:v>
                </c:pt>
                <c:pt idx="140">
                  <c:v>1</c:v>
                </c:pt>
                <c:pt idx="141">
                  <c:v>1</c:v>
                </c:pt>
                <c:pt idx="142">
                  <c:v>1</c:v>
                </c:pt>
                <c:pt idx="143">
                  <c:v>1</c:v>
                </c:pt>
                <c:pt idx="144">
                  <c:v>0</c:v>
                </c:pt>
                <c:pt idx="145">
                  <c:v>0</c:v>
                </c:pt>
                <c:pt idx="146">
                  <c:v>0</c:v>
                </c:pt>
                <c:pt idx="147">
                  <c:v>0</c:v>
                </c:pt>
                <c:pt idx="148">
                  <c:v>0</c:v>
                </c:pt>
                <c:pt idx="149">
                  <c:v>0</c:v>
                </c:pt>
                <c:pt idx="150">
                  <c:v>0</c:v>
                </c:pt>
                <c:pt idx="151">
                  <c:v>0</c:v>
                </c:pt>
                <c:pt idx="152">
                  <c:v>0</c:v>
                </c:pt>
                <c:pt idx="153">
                  <c:v>0</c:v>
                </c:pt>
                <c:pt idx="154">
                  <c:v>0</c:v>
                </c:pt>
                <c:pt idx="155">
                  <c:v>0</c:v>
                </c:pt>
                <c:pt idx="156">
                  <c:v>0</c:v>
                </c:pt>
                <c:pt idx="157">
                  <c:v>0</c:v>
                </c:pt>
                <c:pt idx="158">
                  <c:v>0</c:v>
                </c:pt>
                <c:pt idx="159">
                  <c:v>0</c:v>
                </c:pt>
                <c:pt idx="160">
                  <c:v>0</c:v>
                </c:pt>
                <c:pt idx="161">
                  <c:v>0</c:v>
                </c:pt>
                <c:pt idx="162">
                  <c:v>0</c:v>
                </c:pt>
                <c:pt idx="163">
                  <c:v>0</c:v>
                </c:pt>
                <c:pt idx="164">
                  <c:v>0</c:v>
                </c:pt>
                <c:pt idx="165">
                  <c:v>0</c:v>
                </c:pt>
                <c:pt idx="166">
                  <c:v>0</c:v>
                </c:pt>
                <c:pt idx="167">
                  <c:v>0</c:v>
                </c:pt>
                <c:pt idx="168">
                  <c:v>0</c:v>
                </c:pt>
                <c:pt idx="169">
                  <c:v>0</c:v>
                </c:pt>
                <c:pt idx="170">
                  <c:v>0</c:v>
                </c:pt>
                <c:pt idx="171">
                  <c:v>0</c:v>
                </c:pt>
                <c:pt idx="172">
                  <c:v>0</c:v>
                </c:pt>
                <c:pt idx="173">
                  <c:v>0</c:v>
                </c:pt>
                <c:pt idx="174">
                  <c:v>0</c:v>
                </c:pt>
                <c:pt idx="175">
                  <c:v>0</c:v>
                </c:pt>
                <c:pt idx="176">
                  <c:v>1</c:v>
                </c:pt>
                <c:pt idx="177">
                  <c:v>1</c:v>
                </c:pt>
                <c:pt idx="178">
                  <c:v>1</c:v>
                </c:pt>
                <c:pt idx="179">
                  <c:v>1</c:v>
                </c:pt>
                <c:pt idx="180">
                  <c:v>1</c:v>
                </c:pt>
                <c:pt idx="181">
                  <c:v>1</c:v>
                </c:pt>
                <c:pt idx="182">
                  <c:v>1</c:v>
                </c:pt>
                <c:pt idx="183">
                  <c:v>1</c:v>
                </c:pt>
                <c:pt idx="184">
                  <c:v>0</c:v>
                </c:pt>
                <c:pt idx="185">
                  <c:v>0</c:v>
                </c:pt>
                <c:pt idx="186">
                  <c:v>0</c:v>
                </c:pt>
                <c:pt idx="187">
                  <c:v>0</c:v>
                </c:pt>
                <c:pt idx="188">
                  <c:v>0</c:v>
                </c:pt>
                <c:pt idx="189">
                  <c:v>0</c:v>
                </c:pt>
                <c:pt idx="190">
                  <c:v>0</c:v>
                </c:pt>
                <c:pt idx="191">
                  <c:v>0</c:v>
                </c:pt>
                <c:pt idx="192">
                  <c:v>1</c:v>
                </c:pt>
                <c:pt idx="193">
                  <c:v>1</c:v>
                </c:pt>
                <c:pt idx="194">
                  <c:v>1</c:v>
                </c:pt>
                <c:pt idx="195">
                  <c:v>1</c:v>
                </c:pt>
                <c:pt idx="196">
                  <c:v>0</c:v>
                </c:pt>
                <c:pt idx="197">
                  <c:v>0</c:v>
                </c:pt>
                <c:pt idx="198">
                  <c:v>0</c:v>
                </c:pt>
                <c:pt idx="199">
                  <c:v>0</c:v>
                </c:pt>
                <c:pt idx="200">
                  <c:v>0</c:v>
                </c:pt>
                <c:pt idx="201">
                  <c:v>0</c:v>
                </c:pt>
                <c:pt idx="202">
                  <c:v>0</c:v>
                </c:pt>
                <c:pt idx="203">
                  <c:v>0</c:v>
                </c:pt>
                <c:pt idx="204">
                  <c:v>0</c:v>
                </c:pt>
                <c:pt idx="205">
                  <c:v>0</c:v>
                </c:pt>
                <c:pt idx="206">
                  <c:v>0</c:v>
                </c:pt>
                <c:pt idx="207">
                  <c:v>0</c:v>
                </c:pt>
                <c:pt idx="208">
                  <c:v>0</c:v>
                </c:pt>
                <c:pt idx="209">
                  <c:v>0</c:v>
                </c:pt>
                <c:pt idx="210">
                  <c:v>0</c:v>
                </c:pt>
                <c:pt idx="211">
                  <c:v>0</c:v>
                </c:pt>
                <c:pt idx="212">
                  <c:v>1</c:v>
                </c:pt>
                <c:pt idx="213">
                  <c:v>1</c:v>
                </c:pt>
                <c:pt idx="214">
                  <c:v>1</c:v>
                </c:pt>
                <c:pt idx="215">
                  <c:v>1</c:v>
                </c:pt>
                <c:pt idx="216">
                  <c:v>0</c:v>
                </c:pt>
                <c:pt idx="217">
                  <c:v>0</c:v>
                </c:pt>
                <c:pt idx="218">
                  <c:v>0</c:v>
                </c:pt>
                <c:pt idx="219">
                  <c:v>0</c:v>
                </c:pt>
                <c:pt idx="220">
                  <c:v>0</c:v>
                </c:pt>
                <c:pt idx="221">
                  <c:v>0</c:v>
                </c:pt>
                <c:pt idx="222">
                  <c:v>0</c:v>
                </c:pt>
                <c:pt idx="223">
                  <c:v>0</c:v>
                </c:pt>
                <c:pt idx="224">
                  <c:v>0</c:v>
                </c:pt>
                <c:pt idx="225">
                  <c:v>0</c:v>
                </c:pt>
                <c:pt idx="226">
                  <c:v>0</c:v>
                </c:pt>
                <c:pt idx="227">
                  <c:v>0</c:v>
                </c:pt>
                <c:pt idx="228">
                  <c:v>0</c:v>
                </c:pt>
                <c:pt idx="229">
                  <c:v>0</c:v>
                </c:pt>
                <c:pt idx="230">
                  <c:v>0</c:v>
                </c:pt>
                <c:pt idx="231">
                  <c:v>0</c:v>
                </c:pt>
                <c:pt idx="232">
                  <c:v>1</c:v>
                </c:pt>
                <c:pt idx="233">
                  <c:v>1</c:v>
                </c:pt>
                <c:pt idx="234">
                  <c:v>1</c:v>
                </c:pt>
                <c:pt idx="235">
                  <c:v>1</c:v>
                </c:pt>
                <c:pt idx="236">
                  <c:v>1</c:v>
                </c:pt>
                <c:pt idx="237">
                  <c:v>1</c:v>
                </c:pt>
                <c:pt idx="238">
                  <c:v>1</c:v>
                </c:pt>
                <c:pt idx="239">
                  <c:v>1</c:v>
                </c:pt>
                <c:pt idx="240">
                  <c:v>0</c:v>
                </c:pt>
                <c:pt idx="241">
                  <c:v>0</c:v>
                </c:pt>
                <c:pt idx="242">
                  <c:v>0</c:v>
                </c:pt>
                <c:pt idx="243">
                  <c:v>0</c:v>
                </c:pt>
                <c:pt idx="244">
                  <c:v>0</c:v>
                </c:pt>
                <c:pt idx="245">
                  <c:v>0</c:v>
                </c:pt>
                <c:pt idx="246">
                  <c:v>0</c:v>
                </c:pt>
                <c:pt idx="247">
                  <c:v>0</c:v>
                </c:pt>
                <c:pt idx="248">
                  <c:v>0</c:v>
                </c:pt>
                <c:pt idx="249">
                  <c:v>0</c:v>
                </c:pt>
                <c:pt idx="250">
                  <c:v>0</c:v>
                </c:pt>
                <c:pt idx="251">
                  <c:v>0</c:v>
                </c:pt>
                <c:pt idx="252">
                  <c:v>0</c:v>
                </c:pt>
                <c:pt idx="253">
                  <c:v>0</c:v>
                </c:pt>
                <c:pt idx="254">
                  <c:v>0</c:v>
                </c:pt>
                <c:pt idx="255">
                  <c:v>0</c:v>
                </c:pt>
                <c:pt idx="256">
                  <c:v>0</c:v>
                </c:pt>
                <c:pt idx="257">
                  <c:v>0</c:v>
                </c:pt>
                <c:pt idx="258">
                  <c:v>0</c:v>
                </c:pt>
                <c:pt idx="259">
                  <c:v>0</c:v>
                </c:pt>
                <c:pt idx="260">
                  <c:v>1</c:v>
                </c:pt>
                <c:pt idx="261">
                  <c:v>1</c:v>
                </c:pt>
                <c:pt idx="262">
                  <c:v>1</c:v>
                </c:pt>
                <c:pt idx="263">
                  <c:v>1</c:v>
                </c:pt>
                <c:pt idx="264">
                  <c:v>0</c:v>
                </c:pt>
                <c:pt idx="265">
                  <c:v>0</c:v>
                </c:pt>
                <c:pt idx="266">
                  <c:v>0</c:v>
                </c:pt>
                <c:pt idx="267">
                  <c:v>0</c:v>
                </c:pt>
                <c:pt idx="268">
                  <c:v>0</c:v>
                </c:pt>
                <c:pt idx="269">
                  <c:v>0</c:v>
                </c:pt>
                <c:pt idx="270">
                  <c:v>0</c:v>
                </c:pt>
                <c:pt idx="271">
                  <c:v>0</c:v>
                </c:pt>
                <c:pt idx="272">
                  <c:v>1</c:v>
                </c:pt>
                <c:pt idx="273">
                  <c:v>1</c:v>
                </c:pt>
                <c:pt idx="274">
                  <c:v>1</c:v>
                </c:pt>
                <c:pt idx="275">
                  <c:v>1</c:v>
                </c:pt>
                <c:pt idx="276">
                  <c:v>0</c:v>
                </c:pt>
                <c:pt idx="277">
                  <c:v>0</c:v>
                </c:pt>
                <c:pt idx="278">
                  <c:v>0</c:v>
                </c:pt>
                <c:pt idx="279">
                  <c:v>0</c:v>
                </c:pt>
                <c:pt idx="280">
                  <c:v>0</c:v>
                </c:pt>
                <c:pt idx="281">
                  <c:v>0</c:v>
                </c:pt>
                <c:pt idx="282">
                  <c:v>0</c:v>
                </c:pt>
                <c:pt idx="283">
                  <c:v>0</c:v>
                </c:pt>
                <c:pt idx="284">
                  <c:v>1</c:v>
                </c:pt>
                <c:pt idx="285">
                  <c:v>1</c:v>
                </c:pt>
                <c:pt idx="286">
                  <c:v>1</c:v>
                </c:pt>
                <c:pt idx="287">
                  <c:v>1</c:v>
                </c:pt>
                <c:pt idx="288">
                  <c:v>0</c:v>
                </c:pt>
                <c:pt idx="289">
                  <c:v>0</c:v>
                </c:pt>
                <c:pt idx="290">
                  <c:v>0</c:v>
                </c:pt>
                <c:pt idx="291">
                  <c:v>0</c:v>
                </c:pt>
                <c:pt idx="292">
                  <c:v>1</c:v>
                </c:pt>
                <c:pt idx="293">
                  <c:v>1</c:v>
                </c:pt>
                <c:pt idx="294">
                  <c:v>1</c:v>
                </c:pt>
                <c:pt idx="295">
                  <c:v>1</c:v>
                </c:pt>
                <c:pt idx="296">
                  <c:v>1</c:v>
                </c:pt>
                <c:pt idx="297">
                  <c:v>1</c:v>
                </c:pt>
                <c:pt idx="298">
                  <c:v>1</c:v>
                </c:pt>
                <c:pt idx="299">
                  <c:v>1</c:v>
                </c:pt>
                <c:pt idx="300">
                  <c:v>0</c:v>
                </c:pt>
                <c:pt idx="301">
                  <c:v>0</c:v>
                </c:pt>
                <c:pt idx="302">
                  <c:v>0</c:v>
                </c:pt>
                <c:pt idx="303">
                  <c:v>0</c:v>
                </c:pt>
                <c:pt idx="304">
                  <c:v>0</c:v>
                </c:pt>
                <c:pt idx="305">
                  <c:v>0</c:v>
                </c:pt>
                <c:pt idx="306">
                  <c:v>0</c:v>
                </c:pt>
                <c:pt idx="307">
                  <c:v>0</c:v>
                </c:pt>
                <c:pt idx="308">
                  <c:v>0</c:v>
                </c:pt>
                <c:pt idx="309">
                  <c:v>0</c:v>
                </c:pt>
                <c:pt idx="310">
                  <c:v>0</c:v>
                </c:pt>
                <c:pt idx="311">
                  <c:v>0</c:v>
                </c:pt>
                <c:pt idx="312">
                  <c:v>0</c:v>
                </c:pt>
                <c:pt idx="313">
                  <c:v>0</c:v>
                </c:pt>
                <c:pt idx="314">
                  <c:v>0</c:v>
                </c:pt>
                <c:pt idx="315">
                  <c:v>0</c:v>
                </c:pt>
                <c:pt idx="316">
                  <c:v>0</c:v>
                </c:pt>
                <c:pt idx="317">
                  <c:v>0</c:v>
                </c:pt>
                <c:pt idx="318">
                  <c:v>0</c:v>
                </c:pt>
                <c:pt idx="319">
                  <c:v>0</c:v>
                </c:pt>
              </c:numCache>
            </c:numRef>
          </c:xVal>
          <c:yVal>
            <c:numRef>
              <c:f>store_performance!$P$2:$P$321</c:f>
              <c:numCache>
                <c:formatCode>General</c:formatCode>
                <c:ptCount val="320"/>
                <c:pt idx="0">
                  <c:v>658832.62</c:v>
                </c:pt>
                <c:pt idx="1">
                  <c:v>634436</c:v>
                </c:pt>
                <c:pt idx="2">
                  <c:v>678722.06</c:v>
                </c:pt>
                <c:pt idx="3">
                  <c:v>658920.30000000005</c:v>
                </c:pt>
                <c:pt idx="4">
                  <c:v>741341.44</c:v>
                </c:pt>
                <c:pt idx="5">
                  <c:v>761835.34</c:v>
                </c:pt>
                <c:pt idx="6">
                  <c:v>806615.54</c:v>
                </c:pt>
                <c:pt idx="7">
                  <c:v>850164.26</c:v>
                </c:pt>
                <c:pt idx="8">
                  <c:v>930581.7</c:v>
                </c:pt>
                <c:pt idx="9">
                  <c:v>779010.94</c:v>
                </c:pt>
                <c:pt idx="10">
                  <c:v>723060.76</c:v>
                </c:pt>
                <c:pt idx="11">
                  <c:v>910791.94</c:v>
                </c:pt>
                <c:pt idx="12">
                  <c:v>922168.6</c:v>
                </c:pt>
                <c:pt idx="13">
                  <c:v>726606.28</c:v>
                </c:pt>
                <c:pt idx="14">
                  <c:v>746501.09</c:v>
                </c:pt>
                <c:pt idx="15">
                  <c:v>834017.02</c:v>
                </c:pt>
                <c:pt idx="16">
                  <c:v>666152.52</c:v>
                </c:pt>
                <c:pt idx="17">
                  <c:v>573155.18999999994</c:v>
                </c:pt>
                <c:pt idx="18">
                  <c:v>666573.19999999995</c:v>
                </c:pt>
                <c:pt idx="19">
                  <c:v>591619.94999999995</c:v>
                </c:pt>
                <c:pt idx="20">
                  <c:v>415721.82</c:v>
                </c:pt>
                <c:pt idx="21">
                  <c:v>491905.13</c:v>
                </c:pt>
                <c:pt idx="22">
                  <c:v>555929.4</c:v>
                </c:pt>
                <c:pt idx="23">
                  <c:v>565810.99</c:v>
                </c:pt>
                <c:pt idx="24">
                  <c:v>811771.14</c:v>
                </c:pt>
                <c:pt idx="25">
                  <c:v>800451.94</c:v>
                </c:pt>
                <c:pt idx="26">
                  <c:v>783672.82</c:v>
                </c:pt>
                <c:pt idx="27">
                  <c:v>701641.97</c:v>
                </c:pt>
                <c:pt idx="28">
                  <c:v>511844.41</c:v>
                </c:pt>
                <c:pt idx="29">
                  <c:v>537383.79</c:v>
                </c:pt>
                <c:pt idx="30">
                  <c:v>500173.02</c:v>
                </c:pt>
                <c:pt idx="31">
                  <c:v>427917.38</c:v>
                </c:pt>
                <c:pt idx="32">
                  <c:v>641865.03</c:v>
                </c:pt>
                <c:pt idx="33">
                  <c:v>799477.76000000001</c:v>
                </c:pt>
                <c:pt idx="34">
                  <c:v>798952.17</c:v>
                </c:pt>
                <c:pt idx="35">
                  <c:v>800979.78</c:v>
                </c:pt>
                <c:pt idx="36">
                  <c:v>820593.93</c:v>
                </c:pt>
                <c:pt idx="37">
                  <c:v>718330.53</c:v>
                </c:pt>
                <c:pt idx="38">
                  <c:v>736633.4</c:v>
                </c:pt>
                <c:pt idx="39">
                  <c:v>828623.85</c:v>
                </c:pt>
                <c:pt idx="40">
                  <c:v>592195.85</c:v>
                </c:pt>
                <c:pt idx="41">
                  <c:v>532644.46</c:v>
                </c:pt>
                <c:pt idx="42">
                  <c:v>657429.18000000005</c:v>
                </c:pt>
                <c:pt idx="43">
                  <c:v>605178</c:v>
                </c:pt>
                <c:pt idx="44">
                  <c:v>595467.6</c:v>
                </c:pt>
                <c:pt idx="45">
                  <c:v>599603.4</c:v>
                </c:pt>
                <c:pt idx="46">
                  <c:v>614800.09</c:v>
                </c:pt>
                <c:pt idx="47">
                  <c:v>585365.73</c:v>
                </c:pt>
                <c:pt idx="48">
                  <c:v>622811.74</c:v>
                </c:pt>
                <c:pt idx="49">
                  <c:v>603297.56999999995</c:v>
                </c:pt>
                <c:pt idx="50">
                  <c:v>625672.86</c:v>
                </c:pt>
                <c:pt idx="51">
                  <c:v>773815.14</c:v>
                </c:pt>
                <c:pt idx="52">
                  <c:v>463534.25</c:v>
                </c:pt>
                <c:pt idx="53">
                  <c:v>746677.75</c:v>
                </c:pt>
                <c:pt idx="54">
                  <c:v>720852.5</c:v>
                </c:pt>
                <c:pt idx="55">
                  <c:v>487464.91</c:v>
                </c:pt>
                <c:pt idx="56">
                  <c:v>518049.26</c:v>
                </c:pt>
                <c:pt idx="57">
                  <c:v>500298.48</c:v>
                </c:pt>
                <c:pt idx="58">
                  <c:v>617291.15</c:v>
                </c:pt>
                <c:pt idx="59">
                  <c:v>553756.43000000005</c:v>
                </c:pt>
                <c:pt idx="60">
                  <c:v>749559.71</c:v>
                </c:pt>
                <c:pt idx="61">
                  <c:v>615966.48</c:v>
                </c:pt>
                <c:pt idx="62">
                  <c:v>572011.19999999995</c:v>
                </c:pt>
                <c:pt idx="63">
                  <c:v>761860.19</c:v>
                </c:pt>
                <c:pt idx="64">
                  <c:v>784502.68</c:v>
                </c:pt>
                <c:pt idx="65">
                  <c:v>717141.55</c:v>
                </c:pt>
                <c:pt idx="66">
                  <c:v>685379.08</c:v>
                </c:pt>
                <c:pt idx="67">
                  <c:v>740496.65</c:v>
                </c:pt>
                <c:pt idx="68">
                  <c:v>661927.14</c:v>
                </c:pt>
                <c:pt idx="69">
                  <c:v>479050.5</c:v>
                </c:pt>
                <c:pt idx="70">
                  <c:v>605023.87</c:v>
                </c:pt>
                <c:pt idx="71">
                  <c:v>674774.09</c:v>
                </c:pt>
                <c:pt idx="72">
                  <c:v>616069.41</c:v>
                </c:pt>
                <c:pt idx="73">
                  <c:v>630829.93999999994</c:v>
                </c:pt>
                <c:pt idx="74">
                  <c:v>788087.68</c:v>
                </c:pt>
                <c:pt idx="75">
                  <c:v>680840.36</c:v>
                </c:pt>
                <c:pt idx="76">
                  <c:v>643657.47</c:v>
                </c:pt>
                <c:pt idx="77">
                  <c:v>691112.6</c:v>
                </c:pt>
                <c:pt idx="78">
                  <c:v>776922.17</c:v>
                </c:pt>
                <c:pt idx="79">
                  <c:v>636561.34</c:v>
                </c:pt>
                <c:pt idx="80">
                  <c:v>621369.57999999996</c:v>
                </c:pt>
                <c:pt idx="81">
                  <c:v>682208.01</c:v>
                </c:pt>
                <c:pt idx="82">
                  <c:v>727241.86</c:v>
                </c:pt>
                <c:pt idx="83">
                  <c:v>569100.78</c:v>
                </c:pt>
                <c:pt idx="84">
                  <c:v>574436.29</c:v>
                </c:pt>
                <c:pt idx="85">
                  <c:v>611766.72</c:v>
                </c:pt>
                <c:pt idx="86">
                  <c:v>614596.31999999995</c:v>
                </c:pt>
                <c:pt idx="87">
                  <c:v>450711.92</c:v>
                </c:pt>
                <c:pt idx="88">
                  <c:v>711213.46</c:v>
                </c:pt>
                <c:pt idx="89">
                  <c:v>627171.9</c:v>
                </c:pt>
                <c:pt idx="90">
                  <c:v>739852.58</c:v>
                </c:pt>
                <c:pt idx="91">
                  <c:v>586307.22</c:v>
                </c:pt>
                <c:pt idx="92">
                  <c:v>585937.48</c:v>
                </c:pt>
                <c:pt idx="93">
                  <c:v>753473.55</c:v>
                </c:pt>
                <c:pt idx="94">
                  <c:v>838250.32</c:v>
                </c:pt>
                <c:pt idx="95">
                  <c:v>607898.12</c:v>
                </c:pt>
                <c:pt idx="96">
                  <c:v>691113.62</c:v>
                </c:pt>
                <c:pt idx="97">
                  <c:v>735509.4</c:v>
                </c:pt>
                <c:pt idx="98">
                  <c:v>605775.32999999996</c:v>
                </c:pt>
                <c:pt idx="99">
                  <c:v>675177.68</c:v>
                </c:pt>
                <c:pt idx="100">
                  <c:v>635181.35</c:v>
                </c:pt>
                <c:pt idx="101">
                  <c:v>586626.93999999994</c:v>
                </c:pt>
                <c:pt idx="102">
                  <c:v>740102.64</c:v>
                </c:pt>
                <c:pt idx="103">
                  <c:v>625514.04</c:v>
                </c:pt>
                <c:pt idx="104">
                  <c:v>727227.2</c:v>
                </c:pt>
                <c:pt idx="105">
                  <c:v>783797.89</c:v>
                </c:pt>
                <c:pt idx="106">
                  <c:v>795153.84</c:v>
                </c:pt>
                <c:pt idx="107">
                  <c:v>665594.93999999994</c:v>
                </c:pt>
                <c:pt idx="108">
                  <c:v>709478.39</c:v>
                </c:pt>
                <c:pt idx="109">
                  <c:v>664162.49</c:v>
                </c:pt>
                <c:pt idx="110">
                  <c:v>633494.21</c:v>
                </c:pt>
                <c:pt idx="111">
                  <c:v>713611.16</c:v>
                </c:pt>
                <c:pt idx="112">
                  <c:v>778397.97</c:v>
                </c:pt>
                <c:pt idx="113">
                  <c:v>873380.02</c:v>
                </c:pt>
                <c:pt idx="114">
                  <c:v>697287.9</c:v>
                </c:pt>
                <c:pt idx="115">
                  <c:v>718074.79</c:v>
                </c:pt>
                <c:pt idx="116">
                  <c:v>714942.43</c:v>
                </c:pt>
                <c:pt idx="117">
                  <c:v>820519.04</c:v>
                </c:pt>
                <c:pt idx="118">
                  <c:v>684217.32</c:v>
                </c:pt>
                <c:pt idx="119">
                  <c:v>735480.19</c:v>
                </c:pt>
                <c:pt idx="120">
                  <c:v>509484.81</c:v>
                </c:pt>
                <c:pt idx="121">
                  <c:v>654317.09</c:v>
                </c:pt>
                <c:pt idx="122">
                  <c:v>557487.26</c:v>
                </c:pt>
                <c:pt idx="123">
                  <c:v>441275.42</c:v>
                </c:pt>
                <c:pt idx="124">
                  <c:v>914544.17</c:v>
                </c:pt>
                <c:pt idx="125">
                  <c:v>842439.67</c:v>
                </c:pt>
                <c:pt idx="126">
                  <c:v>842157.92</c:v>
                </c:pt>
                <c:pt idx="127">
                  <c:v>697155.3</c:v>
                </c:pt>
                <c:pt idx="128">
                  <c:v>849018.3</c:v>
                </c:pt>
                <c:pt idx="129">
                  <c:v>801830.35</c:v>
                </c:pt>
                <c:pt idx="130">
                  <c:v>725235.28</c:v>
                </c:pt>
                <c:pt idx="131">
                  <c:v>811452.72</c:v>
                </c:pt>
                <c:pt idx="132">
                  <c:v>527300.13</c:v>
                </c:pt>
                <c:pt idx="133">
                  <c:v>400831.65</c:v>
                </c:pt>
                <c:pt idx="134">
                  <c:v>593247.25</c:v>
                </c:pt>
                <c:pt idx="135">
                  <c:v>529075.94999999995</c:v>
                </c:pt>
                <c:pt idx="136">
                  <c:v>633638.03</c:v>
                </c:pt>
                <c:pt idx="137">
                  <c:v>743348.84</c:v>
                </c:pt>
                <c:pt idx="138">
                  <c:v>758827.64</c:v>
                </c:pt>
                <c:pt idx="139">
                  <c:v>646559.71</c:v>
                </c:pt>
                <c:pt idx="140">
                  <c:v>715890.53</c:v>
                </c:pt>
                <c:pt idx="141">
                  <c:v>715097.57</c:v>
                </c:pt>
                <c:pt idx="142">
                  <c:v>682639.28</c:v>
                </c:pt>
                <c:pt idx="143">
                  <c:v>695098.51</c:v>
                </c:pt>
                <c:pt idx="144">
                  <c:v>577732.56999999995</c:v>
                </c:pt>
                <c:pt idx="145">
                  <c:v>537058.32999999996</c:v>
                </c:pt>
                <c:pt idx="146">
                  <c:v>601568.87</c:v>
                </c:pt>
                <c:pt idx="147">
                  <c:v>570964.84</c:v>
                </c:pt>
                <c:pt idx="148">
                  <c:v>614024.91</c:v>
                </c:pt>
                <c:pt idx="149">
                  <c:v>712868.35</c:v>
                </c:pt>
                <c:pt idx="150">
                  <c:v>696744.15</c:v>
                </c:pt>
                <c:pt idx="151">
                  <c:v>725847.99</c:v>
                </c:pt>
                <c:pt idx="152">
                  <c:v>785028.25</c:v>
                </c:pt>
                <c:pt idx="153">
                  <c:v>698492.67</c:v>
                </c:pt>
                <c:pt idx="154">
                  <c:v>685830.24</c:v>
                </c:pt>
                <c:pt idx="155">
                  <c:v>702318.94</c:v>
                </c:pt>
                <c:pt idx="156">
                  <c:v>700078.32</c:v>
                </c:pt>
                <c:pt idx="157">
                  <c:v>602002.31999999995</c:v>
                </c:pt>
                <c:pt idx="158">
                  <c:v>724216.07</c:v>
                </c:pt>
                <c:pt idx="159">
                  <c:v>620973.03</c:v>
                </c:pt>
                <c:pt idx="160">
                  <c:v>650480.06000000006</c:v>
                </c:pt>
                <c:pt idx="161">
                  <c:v>778298.88</c:v>
                </c:pt>
                <c:pt idx="162">
                  <c:v>677096.71</c:v>
                </c:pt>
                <c:pt idx="163">
                  <c:v>692008.64</c:v>
                </c:pt>
                <c:pt idx="164">
                  <c:v>825797.91</c:v>
                </c:pt>
                <c:pt idx="165">
                  <c:v>706285.52</c:v>
                </c:pt>
                <c:pt idx="166">
                  <c:v>665534.69999999995</c:v>
                </c:pt>
                <c:pt idx="167">
                  <c:v>820729.29</c:v>
                </c:pt>
                <c:pt idx="168">
                  <c:v>739831.73</c:v>
                </c:pt>
                <c:pt idx="169">
                  <c:v>593637.14</c:v>
                </c:pt>
                <c:pt idx="170">
                  <c:v>769702.76</c:v>
                </c:pt>
                <c:pt idx="171">
                  <c:v>679731.57</c:v>
                </c:pt>
                <c:pt idx="172">
                  <c:v>780344.18</c:v>
                </c:pt>
                <c:pt idx="173">
                  <c:v>721364.11</c:v>
                </c:pt>
                <c:pt idx="174">
                  <c:v>758138.29</c:v>
                </c:pt>
                <c:pt idx="175">
                  <c:v>804264</c:v>
                </c:pt>
                <c:pt idx="176">
                  <c:v>887537.75</c:v>
                </c:pt>
                <c:pt idx="177">
                  <c:v>783582</c:v>
                </c:pt>
                <c:pt idx="178">
                  <c:v>781955.52</c:v>
                </c:pt>
                <c:pt idx="179">
                  <c:v>898031.04</c:v>
                </c:pt>
                <c:pt idx="180">
                  <c:v>855341.28</c:v>
                </c:pt>
                <c:pt idx="181">
                  <c:v>751393.88</c:v>
                </c:pt>
                <c:pt idx="182">
                  <c:v>761077.08</c:v>
                </c:pt>
                <c:pt idx="183">
                  <c:v>819660.59</c:v>
                </c:pt>
                <c:pt idx="184">
                  <c:v>681855.56</c:v>
                </c:pt>
                <c:pt idx="185">
                  <c:v>678311.17</c:v>
                </c:pt>
                <c:pt idx="186">
                  <c:v>765906.95</c:v>
                </c:pt>
                <c:pt idx="187">
                  <c:v>712546.38</c:v>
                </c:pt>
                <c:pt idx="188">
                  <c:v>625993.82999999996</c:v>
                </c:pt>
                <c:pt idx="189">
                  <c:v>550962.93000000005</c:v>
                </c:pt>
                <c:pt idx="190">
                  <c:v>443275.59</c:v>
                </c:pt>
                <c:pt idx="191">
                  <c:v>554012.06999999995</c:v>
                </c:pt>
                <c:pt idx="192">
                  <c:v>643428.85</c:v>
                </c:pt>
                <c:pt idx="193">
                  <c:v>611924.27</c:v>
                </c:pt>
                <c:pt idx="194">
                  <c:v>559422.02</c:v>
                </c:pt>
                <c:pt idx="195">
                  <c:v>449465.06</c:v>
                </c:pt>
                <c:pt idx="196">
                  <c:v>691447.43</c:v>
                </c:pt>
                <c:pt idx="197">
                  <c:v>574066.61</c:v>
                </c:pt>
                <c:pt idx="198">
                  <c:v>578949.84</c:v>
                </c:pt>
                <c:pt idx="199">
                  <c:v>735786.64</c:v>
                </c:pt>
                <c:pt idx="200">
                  <c:v>598904.9</c:v>
                </c:pt>
                <c:pt idx="201">
                  <c:v>787715.51</c:v>
                </c:pt>
                <c:pt idx="202">
                  <c:v>607084.92000000004</c:v>
                </c:pt>
                <c:pt idx="203">
                  <c:v>650795.49</c:v>
                </c:pt>
                <c:pt idx="204">
                  <c:v>825060.52</c:v>
                </c:pt>
                <c:pt idx="205">
                  <c:v>795464.47</c:v>
                </c:pt>
                <c:pt idx="206">
                  <c:v>671868.59</c:v>
                </c:pt>
                <c:pt idx="207">
                  <c:v>675917.63</c:v>
                </c:pt>
                <c:pt idx="208">
                  <c:v>810446.53</c:v>
                </c:pt>
                <c:pt idx="209">
                  <c:v>691288.19</c:v>
                </c:pt>
                <c:pt idx="210">
                  <c:v>946833.54</c:v>
                </c:pt>
                <c:pt idx="211">
                  <c:v>761963.23</c:v>
                </c:pt>
                <c:pt idx="212">
                  <c:v>812152.6</c:v>
                </c:pt>
                <c:pt idx="213">
                  <c:v>804975.5</c:v>
                </c:pt>
                <c:pt idx="214">
                  <c:v>752321.72</c:v>
                </c:pt>
                <c:pt idx="215">
                  <c:v>836908.24</c:v>
                </c:pt>
                <c:pt idx="216">
                  <c:v>674289.1</c:v>
                </c:pt>
                <c:pt idx="217">
                  <c:v>622892.42000000004</c:v>
                </c:pt>
                <c:pt idx="218">
                  <c:v>673348.56</c:v>
                </c:pt>
                <c:pt idx="219">
                  <c:v>606278.30000000005</c:v>
                </c:pt>
                <c:pt idx="220">
                  <c:v>712219.81</c:v>
                </c:pt>
                <c:pt idx="221">
                  <c:v>672670.54</c:v>
                </c:pt>
                <c:pt idx="222">
                  <c:v>732667.92</c:v>
                </c:pt>
                <c:pt idx="223">
                  <c:v>723531.4</c:v>
                </c:pt>
                <c:pt idx="224">
                  <c:v>641564.6</c:v>
                </c:pt>
                <c:pt idx="225">
                  <c:v>536545.49</c:v>
                </c:pt>
                <c:pt idx="226">
                  <c:v>527681.56000000006</c:v>
                </c:pt>
                <c:pt idx="227">
                  <c:v>529598.93999999994</c:v>
                </c:pt>
                <c:pt idx="228">
                  <c:v>570963.31000000006</c:v>
                </c:pt>
                <c:pt idx="229">
                  <c:v>870937.4</c:v>
                </c:pt>
                <c:pt idx="230">
                  <c:v>596969.27</c:v>
                </c:pt>
                <c:pt idx="231">
                  <c:v>647512.85</c:v>
                </c:pt>
                <c:pt idx="232">
                  <c:v>658072.14</c:v>
                </c:pt>
                <c:pt idx="233">
                  <c:v>723305.11</c:v>
                </c:pt>
                <c:pt idx="234">
                  <c:v>640666.53</c:v>
                </c:pt>
                <c:pt idx="235">
                  <c:v>670629.48</c:v>
                </c:pt>
                <c:pt idx="236">
                  <c:v>721079.35</c:v>
                </c:pt>
                <c:pt idx="237">
                  <c:v>810355.02</c:v>
                </c:pt>
                <c:pt idx="238">
                  <c:v>761919.25</c:v>
                </c:pt>
                <c:pt idx="239">
                  <c:v>737070.18</c:v>
                </c:pt>
                <c:pt idx="240">
                  <c:v>776992.93</c:v>
                </c:pt>
                <c:pt idx="241">
                  <c:v>676337.41</c:v>
                </c:pt>
                <c:pt idx="242">
                  <c:v>828219.67</c:v>
                </c:pt>
                <c:pt idx="243">
                  <c:v>763159.92</c:v>
                </c:pt>
                <c:pt idx="244">
                  <c:v>802001.68</c:v>
                </c:pt>
                <c:pt idx="245">
                  <c:v>750471.34</c:v>
                </c:pt>
                <c:pt idx="246">
                  <c:v>679230.86</c:v>
                </c:pt>
                <c:pt idx="247">
                  <c:v>679888.74</c:v>
                </c:pt>
                <c:pt idx="248">
                  <c:v>606783.67000000004</c:v>
                </c:pt>
                <c:pt idx="249">
                  <c:v>642751.42000000004</c:v>
                </c:pt>
                <c:pt idx="250">
                  <c:v>647953.78</c:v>
                </c:pt>
                <c:pt idx="251">
                  <c:v>729440.45</c:v>
                </c:pt>
                <c:pt idx="252">
                  <c:v>764949</c:v>
                </c:pt>
                <c:pt idx="253">
                  <c:v>799046.94</c:v>
                </c:pt>
                <c:pt idx="254">
                  <c:v>720079.54</c:v>
                </c:pt>
                <c:pt idx="255">
                  <c:v>612390.14</c:v>
                </c:pt>
                <c:pt idx="256">
                  <c:v>840108.12</c:v>
                </c:pt>
                <c:pt idx="257">
                  <c:v>697888.09</c:v>
                </c:pt>
                <c:pt idx="258">
                  <c:v>746115.59</c:v>
                </c:pt>
                <c:pt idx="259">
                  <c:v>776110.32</c:v>
                </c:pt>
                <c:pt idx="260">
                  <c:v>528852.62</c:v>
                </c:pt>
                <c:pt idx="261">
                  <c:v>605751.32999999996</c:v>
                </c:pt>
                <c:pt idx="262">
                  <c:v>677640.65</c:v>
                </c:pt>
                <c:pt idx="263">
                  <c:v>636613.23</c:v>
                </c:pt>
                <c:pt idx="264">
                  <c:v>708985.19</c:v>
                </c:pt>
                <c:pt idx="265">
                  <c:v>767792.94</c:v>
                </c:pt>
                <c:pt idx="266">
                  <c:v>745580.51</c:v>
                </c:pt>
                <c:pt idx="267">
                  <c:v>762328.31</c:v>
                </c:pt>
                <c:pt idx="268">
                  <c:v>660633.99</c:v>
                </c:pt>
                <c:pt idx="269">
                  <c:v>739374.56</c:v>
                </c:pt>
                <c:pt idx="270">
                  <c:v>799756.46</c:v>
                </c:pt>
                <c:pt idx="271">
                  <c:v>593343</c:v>
                </c:pt>
                <c:pt idx="272">
                  <c:v>645039.97</c:v>
                </c:pt>
                <c:pt idx="273">
                  <c:v>561597.32999999996</c:v>
                </c:pt>
                <c:pt idx="274">
                  <c:v>635837.74</c:v>
                </c:pt>
                <c:pt idx="275">
                  <c:v>686737.87</c:v>
                </c:pt>
                <c:pt idx="276">
                  <c:v>673076.34</c:v>
                </c:pt>
                <c:pt idx="277">
                  <c:v>738548.42</c:v>
                </c:pt>
                <c:pt idx="278">
                  <c:v>756619.77</c:v>
                </c:pt>
                <c:pt idx="279">
                  <c:v>761122.42</c:v>
                </c:pt>
                <c:pt idx="280">
                  <c:v>524899.56999999995</c:v>
                </c:pt>
                <c:pt idx="281">
                  <c:v>555557.77</c:v>
                </c:pt>
                <c:pt idx="282">
                  <c:v>714083.68</c:v>
                </c:pt>
                <c:pt idx="283">
                  <c:v>497439.82</c:v>
                </c:pt>
                <c:pt idx="284">
                  <c:v>636775.66</c:v>
                </c:pt>
                <c:pt idx="285">
                  <c:v>633009.53</c:v>
                </c:pt>
                <c:pt idx="286">
                  <c:v>609949</c:v>
                </c:pt>
                <c:pt idx="287">
                  <c:v>548103.69999999995</c:v>
                </c:pt>
                <c:pt idx="288">
                  <c:v>729424.42</c:v>
                </c:pt>
                <c:pt idx="289">
                  <c:v>696261.49</c:v>
                </c:pt>
                <c:pt idx="290">
                  <c:v>813316.71</c:v>
                </c:pt>
                <c:pt idx="291">
                  <c:v>702068.92</c:v>
                </c:pt>
                <c:pt idx="292">
                  <c:v>546223.69999999995</c:v>
                </c:pt>
                <c:pt idx="293">
                  <c:v>533121.26</c:v>
                </c:pt>
                <c:pt idx="294">
                  <c:v>498970.32</c:v>
                </c:pt>
                <c:pt idx="295">
                  <c:v>487738.26</c:v>
                </c:pt>
                <c:pt idx="296">
                  <c:v>668459.37</c:v>
                </c:pt>
                <c:pt idx="297">
                  <c:v>763162.45</c:v>
                </c:pt>
                <c:pt idx="298">
                  <c:v>599017.32999999996</c:v>
                </c:pt>
                <c:pt idx="299">
                  <c:v>401582.58</c:v>
                </c:pt>
                <c:pt idx="300">
                  <c:v>703812.99</c:v>
                </c:pt>
                <c:pt idx="301">
                  <c:v>724346.73</c:v>
                </c:pt>
                <c:pt idx="302">
                  <c:v>730890.01</c:v>
                </c:pt>
                <c:pt idx="303">
                  <c:v>780580.95</c:v>
                </c:pt>
                <c:pt idx="304">
                  <c:v>727957.48</c:v>
                </c:pt>
                <c:pt idx="305">
                  <c:v>538376</c:v>
                </c:pt>
                <c:pt idx="306">
                  <c:v>665342.49</c:v>
                </c:pt>
                <c:pt idx="307">
                  <c:v>651164.18000000005</c:v>
                </c:pt>
                <c:pt idx="308">
                  <c:v>628538.30000000005</c:v>
                </c:pt>
                <c:pt idx="309">
                  <c:v>536524.84</c:v>
                </c:pt>
                <c:pt idx="310">
                  <c:v>621677.30000000005</c:v>
                </c:pt>
                <c:pt idx="311">
                  <c:v>771129.07</c:v>
                </c:pt>
                <c:pt idx="312">
                  <c:v>702052.47</c:v>
                </c:pt>
                <c:pt idx="313">
                  <c:v>688368.46</c:v>
                </c:pt>
                <c:pt idx="314">
                  <c:v>712375.77</c:v>
                </c:pt>
                <c:pt idx="315">
                  <c:v>844710.67</c:v>
                </c:pt>
                <c:pt idx="316">
                  <c:v>620264.19999999995</c:v>
                </c:pt>
                <c:pt idx="317">
                  <c:v>536845.42000000004</c:v>
                </c:pt>
                <c:pt idx="318">
                  <c:v>726776.22</c:v>
                </c:pt>
                <c:pt idx="319">
                  <c:v>559660.84</c:v>
                </c:pt>
              </c:numCache>
            </c:numRef>
          </c:yVal>
          <c:smooth val="0"/>
          <c:extLst>
            <c:ext xmlns:c16="http://schemas.microsoft.com/office/drawing/2014/chart" uri="{C3380CC4-5D6E-409C-BE32-E72D297353CC}">
              <c16:uniqueId val="{00000000-FCF7-480E-89E7-F3100D7482E8}"/>
            </c:ext>
          </c:extLst>
        </c:ser>
        <c:ser>
          <c:idx val="1"/>
          <c:order val="1"/>
          <c:tx>
            <c:v>Predicted monthly_sales</c:v>
          </c:tx>
          <c:spPr>
            <a:ln w="38100">
              <a:noFill/>
            </a:ln>
          </c:spPr>
          <c:xVal>
            <c:numRef>
              <c:f>store_performance!$G$2:$G$321</c:f>
              <c:numCache>
                <c:formatCode>General</c:formatCode>
                <c:ptCount val="320"/>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pt idx="24">
                  <c:v>1</c:v>
                </c:pt>
                <c:pt idx="25">
                  <c:v>1</c:v>
                </c:pt>
                <c:pt idx="26">
                  <c:v>1</c:v>
                </c:pt>
                <c:pt idx="27">
                  <c:v>1</c:v>
                </c:pt>
                <c:pt idx="28">
                  <c:v>0</c:v>
                </c:pt>
                <c:pt idx="29">
                  <c:v>0</c:v>
                </c:pt>
                <c:pt idx="30">
                  <c:v>0</c:v>
                </c:pt>
                <c:pt idx="31">
                  <c:v>0</c:v>
                </c:pt>
                <c:pt idx="32">
                  <c:v>0</c:v>
                </c:pt>
                <c:pt idx="33">
                  <c:v>0</c:v>
                </c:pt>
                <c:pt idx="34">
                  <c:v>0</c:v>
                </c:pt>
                <c:pt idx="35">
                  <c:v>0</c:v>
                </c:pt>
                <c:pt idx="36">
                  <c:v>0</c:v>
                </c:pt>
                <c:pt idx="37">
                  <c:v>0</c:v>
                </c:pt>
                <c:pt idx="38">
                  <c:v>0</c:v>
                </c:pt>
                <c:pt idx="39">
                  <c:v>0</c:v>
                </c:pt>
                <c:pt idx="40">
                  <c:v>0</c:v>
                </c:pt>
                <c:pt idx="41">
                  <c:v>0</c:v>
                </c:pt>
                <c:pt idx="42">
                  <c:v>0</c:v>
                </c:pt>
                <c:pt idx="43">
                  <c:v>0</c:v>
                </c:pt>
                <c:pt idx="44">
                  <c:v>1</c:v>
                </c:pt>
                <c:pt idx="45">
                  <c:v>1</c:v>
                </c:pt>
                <c:pt idx="46">
                  <c:v>1</c:v>
                </c:pt>
                <c:pt idx="47">
                  <c:v>1</c:v>
                </c:pt>
                <c:pt idx="48">
                  <c:v>0</c:v>
                </c:pt>
                <c:pt idx="49">
                  <c:v>0</c:v>
                </c:pt>
                <c:pt idx="50">
                  <c:v>0</c:v>
                </c:pt>
                <c:pt idx="51">
                  <c:v>0</c:v>
                </c:pt>
                <c:pt idx="52">
                  <c:v>1</c:v>
                </c:pt>
                <c:pt idx="53">
                  <c:v>1</c:v>
                </c:pt>
                <c:pt idx="54">
                  <c:v>1</c:v>
                </c:pt>
                <c:pt idx="55">
                  <c:v>1</c:v>
                </c:pt>
                <c:pt idx="56">
                  <c:v>0</c:v>
                </c:pt>
                <c:pt idx="57">
                  <c:v>0</c:v>
                </c:pt>
                <c:pt idx="58">
                  <c:v>0</c:v>
                </c:pt>
                <c:pt idx="59">
                  <c:v>0</c:v>
                </c:pt>
                <c:pt idx="60">
                  <c:v>0</c:v>
                </c:pt>
                <c:pt idx="61">
                  <c:v>0</c:v>
                </c:pt>
                <c:pt idx="62">
                  <c:v>0</c:v>
                </c:pt>
                <c:pt idx="63">
                  <c:v>0</c:v>
                </c:pt>
                <c:pt idx="64">
                  <c:v>1</c:v>
                </c:pt>
                <c:pt idx="65">
                  <c:v>1</c:v>
                </c:pt>
                <c:pt idx="66">
                  <c:v>1</c:v>
                </c:pt>
                <c:pt idx="67">
                  <c:v>1</c:v>
                </c:pt>
                <c:pt idx="68">
                  <c:v>0</c:v>
                </c:pt>
                <c:pt idx="69">
                  <c:v>0</c:v>
                </c:pt>
                <c:pt idx="70">
                  <c:v>0</c:v>
                </c:pt>
                <c:pt idx="71">
                  <c:v>0</c:v>
                </c:pt>
                <c:pt idx="72">
                  <c:v>0</c:v>
                </c:pt>
                <c:pt idx="73">
                  <c:v>0</c:v>
                </c:pt>
                <c:pt idx="74">
                  <c:v>0</c:v>
                </c:pt>
                <c:pt idx="75">
                  <c:v>0</c:v>
                </c:pt>
                <c:pt idx="76">
                  <c:v>0</c:v>
                </c:pt>
                <c:pt idx="77">
                  <c:v>0</c:v>
                </c:pt>
                <c:pt idx="78">
                  <c:v>0</c:v>
                </c:pt>
                <c:pt idx="79">
                  <c:v>0</c:v>
                </c:pt>
                <c:pt idx="80">
                  <c:v>1</c:v>
                </c:pt>
                <c:pt idx="81">
                  <c:v>1</c:v>
                </c:pt>
                <c:pt idx="82">
                  <c:v>1</c:v>
                </c:pt>
                <c:pt idx="83">
                  <c:v>1</c:v>
                </c:pt>
                <c:pt idx="84">
                  <c:v>1</c:v>
                </c:pt>
                <c:pt idx="85">
                  <c:v>1</c:v>
                </c:pt>
                <c:pt idx="86">
                  <c:v>1</c:v>
                </c:pt>
                <c:pt idx="87">
                  <c:v>1</c:v>
                </c:pt>
                <c:pt idx="88">
                  <c:v>0</c:v>
                </c:pt>
                <c:pt idx="89">
                  <c:v>0</c:v>
                </c:pt>
                <c:pt idx="90">
                  <c:v>0</c:v>
                </c:pt>
                <c:pt idx="91">
                  <c:v>0</c:v>
                </c:pt>
                <c:pt idx="92">
                  <c:v>1</c:v>
                </c:pt>
                <c:pt idx="93">
                  <c:v>1</c:v>
                </c:pt>
                <c:pt idx="94">
                  <c:v>1</c:v>
                </c:pt>
                <c:pt idx="95">
                  <c:v>1</c:v>
                </c:pt>
                <c:pt idx="96">
                  <c:v>1</c:v>
                </c:pt>
                <c:pt idx="97">
                  <c:v>1</c:v>
                </c:pt>
                <c:pt idx="98">
                  <c:v>1</c:v>
                </c:pt>
                <c:pt idx="99">
                  <c:v>1</c:v>
                </c:pt>
                <c:pt idx="100">
                  <c:v>0</c:v>
                </c:pt>
                <c:pt idx="101">
                  <c:v>0</c:v>
                </c:pt>
                <c:pt idx="102">
                  <c:v>0</c:v>
                </c:pt>
                <c:pt idx="103">
                  <c:v>0</c:v>
                </c:pt>
                <c:pt idx="104">
                  <c:v>1</c:v>
                </c:pt>
                <c:pt idx="105">
                  <c:v>1</c:v>
                </c:pt>
                <c:pt idx="106">
                  <c:v>1</c:v>
                </c:pt>
                <c:pt idx="107">
                  <c:v>1</c:v>
                </c:pt>
                <c:pt idx="108">
                  <c:v>0</c:v>
                </c:pt>
                <c:pt idx="109">
                  <c:v>0</c:v>
                </c:pt>
                <c:pt idx="110">
                  <c:v>0</c:v>
                </c:pt>
                <c:pt idx="111">
                  <c:v>0</c:v>
                </c:pt>
                <c:pt idx="112">
                  <c:v>1</c:v>
                </c:pt>
                <c:pt idx="113">
                  <c:v>1</c:v>
                </c:pt>
                <c:pt idx="114">
                  <c:v>1</c:v>
                </c:pt>
                <c:pt idx="115">
                  <c:v>1</c:v>
                </c:pt>
                <c:pt idx="116">
                  <c:v>1</c:v>
                </c:pt>
                <c:pt idx="117">
                  <c:v>1</c:v>
                </c:pt>
                <c:pt idx="118">
                  <c:v>1</c:v>
                </c:pt>
                <c:pt idx="119">
                  <c:v>1</c:v>
                </c:pt>
                <c:pt idx="120">
                  <c:v>0</c:v>
                </c:pt>
                <c:pt idx="121">
                  <c:v>0</c:v>
                </c:pt>
                <c:pt idx="122">
                  <c:v>0</c:v>
                </c:pt>
                <c:pt idx="123">
                  <c:v>0</c:v>
                </c:pt>
                <c:pt idx="124">
                  <c:v>0</c:v>
                </c:pt>
                <c:pt idx="125">
                  <c:v>0</c:v>
                </c:pt>
                <c:pt idx="126">
                  <c:v>0</c:v>
                </c:pt>
                <c:pt idx="127">
                  <c:v>0</c:v>
                </c:pt>
                <c:pt idx="128">
                  <c:v>0</c:v>
                </c:pt>
                <c:pt idx="129">
                  <c:v>0</c:v>
                </c:pt>
                <c:pt idx="130">
                  <c:v>0</c:v>
                </c:pt>
                <c:pt idx="131">
                  <c:v>0</c:v>
                </c:pt>
                <c:pt idx="132">
                  <c:v>0</c:v>
                </c:pt>
                <c:pt idx="133">
                  <c:v>0</c:v>
                </c:pt>
                <c:pt idx="134">
                  <c:v>0</c:v>
                </c:pt>
                <c:pt idx="135">
                  <c:v>0</c:v>
                </c:pt>
                <c:pt idx="136">
                  <c:v>0</c:v>
                </c:pt>
                <c:pt idx="137">
                  <c:v>0</c:v>
                </c:pt>
                <c:pt idx="138">
                  <c:v>0</c:v>
                </c:pt>
                <c:pt idx="139">
                  <c:v>0</c:v>
                </c:pt>
                <c:pt idx="140">
                  <c:v>1</c:v>
                </c:pt>
                <c:pt idx="141">
                  <c:v>1</c:v>
                </c:pt>
                <c:pt idx="142">
                  <c:v>1</c:v>
                </c:pt>
                <c:pt idx="143">
                  <c:v>1</c:v>
                </c:pt>
                <c:pt idx="144">
                  <c:v>0</c:v>
                </c:pt>
                <c:pt idx="145">
                  <c:v>0</c:v>
                </c:pt>
                <c:pt idx="146">
                  <c:v>0</c:v>
                </c:pt>
                <c:pt idx="147">
                  <c:v>0</c:v>
                </c:pt>
                <c:pt idx="148">
                  <c:v>0</c:v>
                </c:pt>
                <c:pt idx="149">
                  <c:v>0</c:v>
                </c:pt>
                <c:pt idx="150">
                  <c:v>0</c:v>
                </c:pt>
                <c:pt idx="151">
                  <c:v>0</c:v>
                </c:pt>
                <c:pt idx="152">
                  <c:v>0</c:v>
                </c:pt>
                <c:pt idx="153">
                  <c:v>0</c:v>
                </c:pt>
                <c:pt idx="154">
                  <c:v>0</c:v>
                </c:pt>
                <c:pt idx="155">
                  <c:v>0</c:v>
                </c:pt>
                <c:pt idx="156">
                  <c:v>0</c:v>
                </c:pt>
                <c:pt idx="157">
                  <c:v>0</c:v>
                </c:pt>
                <c:pt idx="158">
                  <c:v>0</c:v>
                </c:pt>
                <c:pt idx="159">
                  <c:v>0</c:v>
                </c:pt>
                <c:pt idx="160">
                  <c:v>0</c:v>
                </c:pt>
                <c:pt idx="161">
                  <c:v>0</c:v>
                </c:pt>
                <c:pt idx="162">
                  <c:v>0</c:v>
                </c:pt>
                <c:pt idx="163">
                  <c:v>0</c:v>
                </c:pt>
                <c:pt idx="164">
                  <c:v>0</c:v>
                </c:pt>
                <c:pt idx="165">
                  <c:v>0</c:v>
                </c:pt>
                <c:pt idx="166">
                  <c:v>0</c:v>
                </c:pt>
                <c:pt idx="167">
                  <c:v>0</c:v>
                </c:pt>
                <c:pt idx="168">
                  <c:v>0</c:v>
                </c:pt>
                <c:pt idx="169">
                  <c:v>0</c:v>
                </c:pt>
                <c:pt idx="170">
                  <c:v>0</c:v>
                </c:pt>
                <c:pt idx="171">
                  <c:v>0</c:v>
                </c:pt>
                <c:pt idx="172">
                  <c:v>0</c:v>
                </c:pt>
                <c:pt idx="173">
                  <c:v>0</c:v>
                </c:pt>
                <c:pt idx="174">
                  <c:v>0</c:v>
                </c:pt>
                <c:pt idx="175">
                  <c:v>0</c:v>
                </c:pt>
                <c:pt idx="176">
                  <c:v>1</c:v>
                </c:pt>
                <c:pt idx="177">
                  <c:v>1</c:v>
                </c:pt>
                <c:pt idx="178">
                  <c:v>1</c:v>
                </c:pt>
                <c:pt idx="179">
                  <c:v>1</c:v>
                </c:pt>
                <c:pt idx="180">
                  <c:v>1</c:v>
                </c:pt>
                <c:pt idx="181">
                  <c:v>1</c:v>
                </c:pt>
                <c:pt idx="182">
                  <c:v>1</c:v>
                </c:pt>
                <c:pt idx="183">
                  <c:v>1</c:v>
                </c:pt>
                <c:pt idx="184">
                  <c:v>0</c:v>
                </c:pt>
                <c:pt idx="185">
                  <c:v>0</c:v>
                </c:pt>
                <c:pt idx="186">
                  <c:v>0</c:v>
                </c:pt>
                <c:pt idx="187">
                  <c:v>0</c:v>
                </c:pt>
                <c:pt idx="188">
                  <c:v>0</c:v>
                </c:pt>
                <c:pt idx="189">
                  <c:v>0</c:v>
                </c:pt>
                <c:pt idx="190">
                  <c:v>0</c:v>
                </c:pt>
                <c:pt idx="191">
                  <c:v>0</c:v>
                </c:pt>
                <c:pt idx="192">
                  <c:v>1</c:v>
                </c:pt>
                <c:pt idx="193">
                  <c:v>1</c:v>
                </c:pt>
                <c:pt idx="194">
                  <c:v>1</c:v>
                </c:pt>
                <c:pt idx="195">
                  <c:v>1</c:v>
                </c:pt>
                <c:pt idx="196">
                  <c:v>0</c:v>
                </c:pt>
                <c:pt idx="197">
                  <c:v>0</c:v>
                </c:pt>
                <c:pt idx="198">
                  <c:v>0</c:v>
                </c:pt>
                <c:pt idx="199">
                  <c:v>0</c:v>
                </c:pt>
                <c:pt idx="200">
                  <c:v>0</c:v>
                </c:pt>
                <c:pt idx="201">
                  <c:v>0</c:v>
                </c:pt>
                <c:pt idx="202">
                  <c:v>0</c:v>
                </c:pt>
                <c:pt idx="203">
                  <c:v>0</c:v>
                </c:pt>
                <c:pt idx="204">
                  <c:v>0</c:v>
                </c:pt>
                <c:pt idx="205">
                  <c:v>0</c:v>
                </c:pt>
                <c:pt idx="206">
                  <c:v>0</c:v>
                </c:pt>
                <c:pt idx="207">
                  <c:v>0</c:v>
                </c:pt>
                <c:pt idx="208">
                  <c:v>0</c:v>
                </c:pt>
                <c:pt idx="209">
                  <c:v>0</c:v>
                </c:pt>
                <c:pt idx="210">
                  <c:v>0</c:v>
                </c:pt>
                <c:pt idx="211">
                  <c:v>0</c:v>
                </c:pt>
                <c:pt idx="212">
                  <c:v>1</c:v>
                </c:pt>
                <c:pt idx="213">
                  <c:v>1</c:v>
                </c:pt>
                <c:pt idx="214">
                  <c:v>1</c:v>
                </c:pt>
                <c:pt idx="215">
                  <c:v>1</c:v>
                </c:pt>
                <c:pt idx="216">
                  <c:v>0</c:v>
                </c:pt>
                <c:pt idx="217">
                  <c:v>0</c:v>
                </c:pt>
                <c:pt idx="218">
                  <c:v>0</c:v>
                </c:pt>
                <c:pt idx="219">
                  <c:v>0</c:v>
                </c:pt>
                <c:pt idx="220">
                  <c:v>0</c:v>
                </c:pt>
                <c:pt idx="221">
                  <c:v>0</c:v>
                </c:pt>
                <c:pt idx="222">
                  <c:v>0</c:v>
                </c:pt>
                <c:pt idx="223">
                  <c:v>0</c:v>
                </c:pt>
                <c:pt idx="224">
                  <c:v>0</c:v>
                </c:pt>
                <c:pt idx="225">
                  <c:v>0</c:v>
                </c:pt>
                <c:pt idx="226">
                  <c:v>0</c:v>
                </c:pt>
                <c:pt idx="227">
                  <c:v>0</c:v>
                </c:pt>
                <c:pt idx="228">
                  <c:v>0</c:v>
                </c:pt>
                <c:pt idx="229">
                  <c:v>0</c:v>
                </c:pt>
                <c:pt idx="230">
                  <c:v>0</c:v>
                </c:pt>
                <c:pt idx="231">
                  <c:v>0</c:v>
                </c:pt>
                <c:pt idx="232">
                  <c:v>1</c:v>
                </c:pt>
                <c:pt idx="233">
                  <c:v>1</c:v>
                </c:pt>
                <c:pt idx="234">
                  <c:v>1</c:v>
                </c:pt>
                <c:pt idx="235">
                  <c:v>1</c:v>
                </c:pt>
                <c:pt idx="236">
                  <c:v>1</c:v>
                </c:pt>
                <c:pt idx="237">
                  <c:v>1</c:v>
                </c:pt>
                <c:pt idx="238">
                  <c:v>1</c:v>
                </c:pt>
                <c:pt idx="239">
                  <c:v>1</c:v>
                </c:pt>
                <c:pt idx="240">
                  <c:v>0</c:v>
                </c:pt>
                <c:pt idx="241">
                  <c:v>0</c:v>
                </c:pt>
                <c:pt idx="242">
                  <c:v>0</c:v>
                </c:pt>
                <c:pt idx="243">
                  <c:v>0</c:v>
                </c:pt>
                <c:pt idx="244">
                  <c:v>0</c:v>
                </c:pt>
                <c:pt idx="245">
                  <c:v>0</c:v>
                </c:pt>
                <c:pt idx="246">
                  <c:v>0</c:v>
                </c:pt>
                <c:pt idx="247">
                  <c:v>0</c:v>
                </c:pt>
                <c:pt idx="248">
                  <c:v>0</c:v>
                </c:pt>
                <c:pt idx="249">
                  <c:v>0</c:v>
                </c:pt>
                <c:pt idx="250">
                  <c:v>0</c:v>
                </c:pt>
                <c:pt idx="251">
                  <c:v>0</c:v>
                </c:pt>
                <c:pt idx="252">
                  <c:v>0</c:v>
                </c:pt>
                <c:pt idx="253">
                  <c:v>0</c:v>
                </c:pt>
                <c:pt idx="254">
                  <c:v>0</c:v>
                </c:pt>
                <c:pt idx="255">
                  <c:v>0</c:v>
                </c:pt>
                <c:pt idx="256">
                  <c:v>0</c:v>
                </c:pt>
                <c:pt idx="257">
                  <c:v>0</c:v>
                </c:pt>
                <c:pt idx="258">
                  <c:v>0</c:v>
                </c:pt>
                <c:pt idx="259">
                  <c:v>0</c:v>
                </c:pt>
                <c:pt idx="260">
                  <c:v>1</c:v>
                </c:pt>
                <c:pt idx="261">
                  <c:v>1</c:v>
                </c:pt>
                <c:pt idx="262">
                  <c:v>1</c:v>
                </c:pt>
                <c:pt idx="263">
                  <c:v>1</c:v>
                </c:pt>
                <c:pt idx="264">
                  <c:v>0</c:v>
                </c:pt>
                <c:pt idx="265">
                  <c:v>0</c:v>
                </c:pt>
                <c:pt idx="266">
                  <c:v>0</c:v>
                </c:pt>
                <c:pt idx="267">
                  <c:v>0</c:v>
                </c:pt>
                <c:pt idx="268">
                  <c:v>0</c:v>
                </c:pt>
                <c:pt idx="269">
                  <c:v>0</c:v>
                </c:pt>
                <c:pt idx="270">
                  <c:v>0</c:v>
                </c:pt>
                <c:pt idx="271">
                  <c:v>0</c:v>
                </c:pt>
                <c:pt idx="272">
                  <c:v>1</c:v>
                </c:pt>
                <c:pt idx="273">
                  <c:v>1</c:v>
                </c:pt>
                <c:pt idx="274">
                  <c:v>1</c:v>
                </c:pt>
                <c:pt idx="275">
                  <c:v>1</c:v>
                </c:pt>
                <c:pt idx="276">
                  <c:v>0</c:v>
                </c:pt>
                <c:pt idx="277">
                  <c:v>0</c:v>
                </c:pt>
                <c:pt idx="278">
                  <c:v>0</c:v>
                </c:pt>
                <c:pt idx="279">
                  <c:v>0</c:v>
                </c:pt>
                <c:pt idx="280">
                  <c:v>0</c:v>
                </c:pt>
                <c:pt idx="281">
                  <c:v>0</c:v>
                </c:pt>
                <c:pt idx="282">
                  <c:v>0</c:v>
                </c:pt>
                <c:pt idx="283">
                  <c:v>0</c:v>
                </c:pt>
                <c:pt idx="284">
                  <c:v>1</c:v>
                </c:pt>
                <c:pt idx="285">
                  <c:v>1</c:v>
                </c:pt>
                <c:pt idx="286">
                  <c:v>1</c:v>
                </c:pt>
                <c:pt idx="287">
                  <c:v>1</c:v>
                </c:pt>
                <c:pt idx="288">
                  <c:v>0</c:v>
                </c:pt>
                <c:pt idx="289">
                  <c:v>0</c:v>
                </c:pt>
                <c:pt idx="290">
                  <c:v>0</c:v>
                </c:pt>
                <c:pt idx="291">
                  <c:v>0</c:v>
                </c:pt>
                <c:pt idx="292">
                  <c:v>1</c:v>
                </c:pt>
                <c:pt idx="293">
                  <c:v>1</c:v>
                </c:pt>
                <c:pt idx="294">
                  <c:v>1</c:v>
                </c:pt>
                <c:pt idx="295">
                  <c:v>1</c:v>
                </c:pt>
                <c:pt idx="296">
                  <c:v>1</c:v>
                </c:pt>
                <c:pt idx="297">
                  <c:v>1</c:v>
                </c:pt>
                <c:pt idx="298">
                  <c:v>1</c:v>
                </c:pt>
                <c:pt idx="299">
                  <c:v>1</c:v>
                </c:pt>
                <c:pt idx="300">
                  <c:v>0</c:v>
                </c:pt>
                <c:pt idx="301">
                  <c:v>0</c:v>
                </c:pt>
                <c:pt idx="302">
                  <c:v>0</c:v>
                </c:pt>
                <c:pt idx="303">
                  <c:v>0</c:v>
                </c:pt>
                <c:pt idx="304">
                  <c:v>0</c:v>
                </c:pt>
                <c:pt idx="305">
                  <c:v>0</c:v>
                </c:pt>
                <c:pt idx="306">
                  <c:v>0</c:v>
                </c:pt>
                <c:pt idx="307">
                  <c:v>0</c:v>
                </c:pt>
                <c:pt idx="308">
                  <c:v>0</c:v>
                </c:pt>
                <c:pt idx="309">
                  <c:v>0</c:v>
                </c:pt>
                <c:pt idx="310">
                  <c:v>0</c:v>
                </c:pt>
                <c:pt idx="311">
                  <c:v>0</c:v>
                </c:pt>
                <c:pt idx="312">
                  <c:v>0</c:v>
                </c:pt>
                <c:pt idx="313">
                  <c:v>0</c:v>
                </c:pt>
                <c:pt idx="314">
                  <c:v>0</c:v>
                </c:pt>
                <c:pt idx="315">
                  <c:v>0</c:v>
                </c:pt>
                <c:pt idx="316">
                  <c:v>0</c:v>
                </c:pt>
                <c:pt idx="317">
                  <c:v>0</c:v>
                </c:pt>
                <c:pt idx="318">
                  <c:v>0</c:v>
                </c:pt>
                <c:pt idx="319">
                  <c:v>0</c:v>
                </c:pt>
              </c:numCache>
            </c:numRef>
          </c:xVal>
          <c:yVal>
            <c:numRef>
              <c:f>'Multiple Regression'!$B$28:$B$347</c:f>
              <c:numCache>
                <c:formatCode>General</c:formatCode>
                <c:ptCount val="320"/>
                <c:pt idx="0">
                  <c:v>759253.24684002204</c:v>
                </c:pt>
                <c:pt idx="1">
                  <c:v>724088.88741891354</c:v>
                </c:pt>
                <c:pt idx="2">
                  <c:v>766507.94313322054</c:v>
                </c:pt>
                <c:pt idx="3">
                  <c:v>772897.71900166175</c:v>
                </c:pt>
                <c:pt idx="4">
                  <c:v>759236.59464102832</c:v>
                </c:pt>
                <c:pt idx="5">
                  <c:v>796720.31007738272</c:v>
                </c:pt>
                <c:pt idx="6">
                  <c:v>802335.8679897195</c:v>
                </c:pt>
                <c:pt idx="7">
                  <c:v>758071.44304781524</c:v>
                </c:pt>
                <c:pt idx="8">
                  <c:v>835434.41920816887</c:v>
                </c:pt>
                <c:pt idx="9">
                  <c:v>779757.95342221716</c:v>
                </c:pt>
                <c:pt idx="10">
                  <c:v>732240.09336047294</c:v>
                </c:pt>
                <c:pt idx="11">
                  <c:v>858332.73444093473</c:v>
                </c:pt>
                <c:pt idx="12">
                  <c:v>904472.23671232129</c:v>
                </c:pt>
                <c:pt idx="13">
                  <c:v>792157.7336249795</c:v>
                </c:pt>
                <c:pt idx="14">
                  <c:v>750763.6372104754</c:v>
                </c:pt>
                <c:pt idx="15">
                  <c:v>856578.33559523558</c:v>
                </c:pt>
                <c:pt idx="16">
                  <c:v>696187.51978787174</c:v>
                </c:pt>
                <c:pt idx="17">
                  <c:v>604044.08636361035</c:v>
                </c:pt>
                <c:pt idx="18">
                  <c:v>679803.05628015031</c:v>
                </c:pt>
                <c:pt idx="19">
                  <c:v>600688.60144134983</c:v>
                </c:pt>
                <c:pt idx="20">
                  <c:v>513040.10744009679</c:v>
                </c:pt>
                <c:pt idx="21">
                  <c:v>497979.69129420089</c:v>
                </c:pt>
                <c:pt idx="22">
                  <c:v>551069.71313189634</c:v>
                </c:pt>
                <c:pt idx="23">
                  <c:v>543419.12236561731</c:v>
                </c:pt>
                <c:pt idx="24">
                  <c:v>812565.49043710809</c:v>
                </c:pt>
                <c:pt idx="25">
                  <c:v>898051.23582480138</c:v>
                </c:pt>
                <c:pt idx="26">
                  <c:v>775245.63440210547</c:v>
                </c:pt>
                <c:pt idx="27">
                  <c:v>706283.45886854373</c:v>
                </c:pt>
                <c:pt idx="28">
                  <c:v>605158.20946146618</c:v>
                </c:pt>
                <c:pt idx="29">
                  <c:v>537204.04035061027</c:v>
                </c:pt>
                <c:pt idx="30">
                  <c:v>526296.32098283502</c:v>
                </c:pt>
                <c:pt idx="31">
                  <c:v>501379.52422424307</c:v>
                </c:pt>
                <c:pt idx="32">
                  <c:v>766187.26204522606</c:v>
                </c:pt>
                <c:pt idx="33">
                  <c:v>874507.07742523763</c:v>
                </c:pt>
                <c:pt idx="34">
                  <c:v>802596.20434615877</c:v>
                </c:pt>
                <c:pt idx="35">
                  <c:v>792927.65188130992</c:v>
                </c:pt>
                <c:pt idx="36">
                  <c:v>778368.14888233808</c:v>
                </c:pt>
                <c:pt idx="37">
                  <c:v>733855.29202742875</c:v>
                </c:pt>
                <c:pt idx="38">
                  <c:v>746754.99445505836</c:v>
                </c:pt>
                <c:pt idx="39">
                  <c:v>792828.50376580923</c:v>
                </c:pt>
                <c:pt idx="40">
                  <c:v>553815.71599239821</c:v>
                </c:pt>
                <c:pt idx="41">
                  <c:v>552363.91092902678</c:v>
                </c:pt>
                <c:pt idx="42">
                  <c:v>583130.23449921724</c:v>
                </c:pt>
                <c:pt idx="43">
                  <c:v>598613.62488444475</c:v>
                </c:pt>
                <c:pt idx="44">
                  <c:v>740017.19982507743</c:v>
                </c:pt>
                <c:pt idx="45">
                  <c:v>615953.26271995006</c:v>
                </c:pt>
                <c:pt idx="46">
                  <c:v>589283.50181044894</c:v>
                </c:pt>
                <c:pt idx="47">
                  <c:v>585582.99740525964</c:v>
                </c:pt>
                <c:pt idx="48">
                  <c:v>618945.0746485847</c:v>
                </c:pt>
                <c:pt idx="49">
                  <c:v>628074.76341009943</c:v>
                </c:pt>
                <c:pt idx="50">
                  <c:v>631326.36182459712</c:v>
                </c:pt>
                <c:pt idx="51">
                  <c:v>715412.13787139801</c:v>
                </c:pt>
                <c:pt idx="52">
                  <c:v>577345.19625542732</c:v>
                </c:pt>
                <c:pt idx="53">
                  <c:v>702688.90618276584</c:v>
                </c:pt>
                <c:pt idx="54">
                  <c:v>682803.72982668539</c:v>
                </c:pt>
                <c:pt idx="55">
                  <c:v>535327.6293270418</c:v>
                </c:pt>
                <c:pt idx="56">
                  <c:v>506091.56565574498</c:v>
                </c:pt>
                <c:pt idx="57">
                  <c:v>552785.03618469054</c:v>
                </c:pt>
                <c:pt idx="58">
                  <c:v>662379.04719693714</c:v>
                </c:pt>
                <c:pt idx="59">
                  <c:v>603247.6109173923</c:v>
                </c:pt>
                <c:pt idx="60">
                  <c:v>662062.42522868712</c:v>
                </c:pt>
                <c:pt idx="61">
                  <c:v>571948.29505419917</c:v>
                </c:pt>
                <c:pt idx="62">
                  <c:v>580563.52884178422</c:v>
                </c:pt>
                <c:pt idx="63">
                  <c:v>706927.94013163366</c:v>
                </c:pt>
                <c:pt idx="64">
                  <c:v>792838.97017956094</c:v>
                </c:pt>
                <c:pt idx="65">
                  <c:v>725556.4599775098</c:v>
                </c:pt>
                <c:pt idx="66">
                  <c:v>819072.60211727698</c:v>
                </c:pt>
                <c:pt idx="67">
                  <c:v>730750.18012194824</c:v>
                </c:pt>
                <c:pt idx="68">
                  <c:v>593119.7795825646</c:v>
                </c:pt>
                <c:pt idx="69">
                  <c:v>524330.7831562598</c:v>
                </c:pt>
                <c:pt idx="70">
                  <c:v>562875.9602944284</c:v>
                </c:pt>
                <c:pt idx="71">
                  <c:v>647818.72948404215</c:v>
                </c:pt>
                <c:pt idx="72">
                  <c:v>630907.91585517745</c:v>
                </c:pt>
                <c:pt idx="73">
                  <c:v>688504.89336035785</c:v>
                </c:pt>
                <c:pt idx="74">
                  <c:v>696718.12650027801</c:v>
                </c:pt>
                <c:pt idx="75">
                  <c:v>730076.04365540436</c:v>
                </c:pt>
                <c:pt idx="76">
                  <c:v>683808.92170223896</c:v>
                </c:pt>
                <c:pt idx="77">
                  <c:v>661112.44054119417</c:v>
                </c:pt>
                <c:pt idx="78">
                  <c:v>731387.74082880386</c:v>
                </c:pt>
                <c:pt idx="79">
                  <c:v>671174.46951776755</c:v>
                </c:pt>
                <c:pt idx="80">
                  <c:v>649671.81003948452</c:v>
                </c:pt>
                <c:pt idx="81">
                  <c:v>624634.87436339329</c:v>
                </c:pt>
                <c:pt idx="82">
                  <c:v>645854.76789813407</c:v>
                </c:pt>
                <c:pt idx="83">
                  <c:v>572976.19138436322</c:v>
                </c:pt>
                <c:pt idx="84">
                  <c:v>571874.29421008227</c:v>
                </c:pt>
                <c:pt idx="85">
                  <c:v>631443.10125977884</c:v>
                </c:pt>
                <c:pt idx="86">
                  <c:v>625594.81935702427</c:v>
                </c:pt>
                <c:pt idx="87">
                  <c:v>465742.24574978818</c:v>
                </c:pt>
                <c:pt idx="88">
                  <c:v>694903.9015182209</c:v>
                </c:pt>
                <c:pt idx="89">
                  <c:v>745355.81577245321</c:v>
                </c:pt>
                <c:pt idx="90">
                  <c:v>695101.78459193441</c:v>
                </c:pt>
                <c:pt idx="91">
                  <c:v>560161.28855737578</c:v>
                </c:pt>
                <c:pt idx="92">
                  <c:v>593172.35977984429</c:v>
                </c:pt>
                <c:pt idx="93">
                  <c:v>708798.30072281603</c:v>
                </c:pt>
                <c:pt idx="94">
                  <c:v>774039.61000620225</c:v>
                </c:pt>
                <c:pt idx="95">
                  <c:v>622277.08413821214</c:v>
                </c:pt>
                <c:pt idx="96">
                  <c:v>684402.13874837046</c:v>
                </c:pt>
                <c:pt idx="97">
                  <c:v>662082.33835508279</c:v>
                </c:pt>
                <c:pt idx="98">
                  <c:v>610281.52325340686</c:v>
                </c:pt>
                <c:pt idx="99">
                  <c:v>637881.30045458721</c:v>
                </c:pt>
                <c:pt idx="100">
                  <c:v>573591.85722221667</c:v>
                </c:pt>
                <c:pt idx="101">
                  <c:v>607485.66332538985</c:v>
                </c:pt>
                <c:pt idx="102">
                  <c:v>719653.57481289178</c:v>
                </c:pt>
                <c:pt idx="103">
                  <c:v>514891.48478379007</c:v>
                </c:pt>
                <c:pt idx="104">
                  <c:v>718954.26800603489</c:v>
                </c:pt>
                <c:pt idx="105">
                  <c:v>787998.53508703667</c:v>
                </c:pt>
                <c:pt idx="106">
                  <c:v>710727.8799442465</c:v>
                </c:pt>
                <c:pt idx="107">
                  <c:v>684023.13806358795</c:v>
                </c:pt>
                <c:pt idx="108">
                  <c:v>710074.97455591417</c:v>
                </c:pt>
                <c:pt idx="109">
                  <c:v>641717.71048944036</c:v>
                </c:pt>
                <c:pt idx="110">
                  <c:v>645292.81717054453</c:v>
                </c:pt>
                <c:pt idx="111">
                  <c:v>595587.07154807204</c:v>
                </c:pt>
                <c:pt idx="112">
                  <c:v>770179.60444179678</c:v>
                </c:pt>
                <c:pt idx="113">
                  <c:v>811809.12660692108</c:v>
                </c:pt>
                <c:pt idx="114">
                  <c:v>748464.59572233551</c:v>
                </c:pt>
                <c:pt idx="115">
                  <c:v>742379.18652536208</c:v>
                </c:pt>
                <c:pt idx="116">
                  <c:v>710060.88802308042</c:v>
                </c:pt>
                <c:pt idx="117">
                  <c:v>749646.07640429819</c:v>
                </c:pt>
                <c:pt idx="118">
                  <c:v>736857.78026991279</c:v>
                </c:pt>
                <c:pt idx="119">
                  <c:v>719009.66248009726</c:v>
                </c:pt>
                <c:pt idx="120">
                  <c:v>575712.08829801157</c:v>
                </c:pt>
                <c:pt idx="121">
                  <c:v>622702.20254863496</c:v>
                </c:pt>
                <c:pt idx="122">
                  <c:v>601645.73356804578</c:v>
                </c:pt>
                <c:pt idx="123">
                  <c:v>470776.82543624792</c:v>
                </c:pt>
                <c:pt idx="124">
                  <c:v>812299.43192425638</c:v>
                </c:pt>
                <c:pt idx="125">
                  <c:v>811325.21556025825</c:v>
                </c:pt>
                <c:pt idx="126">
                  <c:v>771821.39985198283</c:v>
                </c:pt>
                <c:pt idx="127">
                  <c:v>714712.2953581257</c:v>
                </c:pt>
                <c:pt idx="128">
                  <c:v>823425.34091719228</c:v>
                </c:pt>
                <c:pt idx="129">
                  <c:v>819388.08039829205</c:v>
                </c:pt>
                <c:pt idx="130">
                  <c:v>772067.72180727171</c:v>
                </c:pt>
                <c:pt idx="131">
                  <c:v>835669.68691974832</c:v>
                </c:pt>
                <c:pt idx="132">
                  <c:v>579330.88028028875</c:v>
                </c:pt>
                <c:pt idx="133">
                  <c:v>472882.06450583047</c:v>
                </c:pt>
                <c:pt idx="134">
                  <c:v>577544.90982965683</c:v>
                </c:pt>
                <c:pt idx="135">
                  <c:v>534062.08478965738</c:v>
                </c:pt>
                <c:pt idx="136">
                  <c:v>745885.75903956871</c:v>
                </c:pt>
                <c:pt idx="137">
                  <c:v>692270.11196989357</c:v>
                </c:pt>
                <c:pt idx="138">
                  <c:v>689810.62489300163</c:v>
                </c:pt>
                <c:pt idx="139">
                  <c:v>621410.31119303626</c:v>
                </c:pt>
                <c:pt idx="140">
                  <c:v>668185.55658928177</c:v>
                </c:pt>
                <c:pt idx="141">
                  <c:v>688329.64290619222</c:v>
                </c:pt>
                <c:pt idx="142">
                  <c:v>648137.25374256889</c:v>
                </c:pt>
                <c:pt idx="143">
                  <c:v>660044.10478721361</c:v>
                </c:pt>
                <c:pt idx="144">
                  <c:v>614195.2293791573</c:v>
                </c:pt>
                <c:pt idx="145">
                  <c:v>562640.79000531661</c:v>
                </c:pt>
                <c:pt idx="146">
                  <c:v>594073.63665160397</c:v>
                </c:pt>
                <c:pt idx="147">
                  <c:v>575743.79376626504</c:v>
                </c:pt>
                <c:pt idx="148">
                  <c:v>637620.73015109519</c:v>
                </c:pt>
                <c:pt idx="149">
                  <c:v>669511.12365382875</c:v>
                </c:pt>
                <c:pt idx="150">
                  <c:v>635246.10839179822</c:v>
                </c:pt>
                <c:pt idx="151">
                  <c:v>666940.57617454161</c:v>
                </c:pt>
                <c:pt idx="152">
                  <c:v>794279.7139504638</c:v>
                </c:pt>
                <c:pt idx="153">
                  <c:v>688736.08959228545</c:v>
                </c:pt>
                <c:pt idx="154">
                  <c:v>718149.05793342355</c:v>
                </c:pt>
                <c:pt idx="155">
                  <c:v>694470.61831812246</c:v>
                </c:pt>
                <c:pt idx="156">
                  <c:v>713653.43301528017</c:v>
                </c:pt>
                <c:pt idx="157">
                  <c:v>623021.52143490477</c:v>
                </c:pt>
                <c:pt idx="158">
                  <c:v>690458.19211826846</c:v>
                </c:pt>
                <c:pt idx="159">
                  <c:v>545741.70489860745</c:v>
                </c:pt>
                <c:pt idx="160">
                  <c:v>686117.58189425175</c:v>
                </c:pt>
                <c:pt idx="161">
                  <c:v>691021.91730953066</c:v>
                </c:pt>
                <c:pt idx="162">
                  <c:v>721951.47204628156</c:v>
                </c:pt>
                <c:pt idx="163">
                  <c:v>676908.12206759281</c:v>
                </c:pt>
                <c:pt idx="164">
                  <c:v>785342.17396988242</c:v>
                </c:pt>
                <c:pt idx="165">
                  <c:v>728513.37619696674</c:v>
                </c:pt>
                <c:pt idx="166">
                  <c:v>663651.51771364512</c:v>
                </c:pt>
                <c:pt idx="167">
                  <c:v>799160.39660130639</c:v>
                </c:pt>
                <c:pt idx="168">
                  <c:v>777434.14712334343</c:v>
                </c:pt>
                <c:pt idx="169">
                  <c:v>687116.27799482737</c:v>
                </c:pt>
                <c:pt idx="170">
                  <c:v>748529.77497078094</c:v>
                </c:pt>
                <c:pt idx="171">
                  <c:v>692913.22586685873</c:v>
                </c:pt>
                <c:pt idx="172">
                  <c:v>757943.74482893676</c:v>
                </c:pt>
                <c:pt idx="173">
                  <c:v>762436.87158584979</c:v>
                </c:pt>
                <c:pt idx="174">
                  <c:v>800383.36662569758</c:v>
                </c:pt>
                <c:pt idx="175">
                  <c:v>811022.0980688635</c:v>
                </c:pt>
                <c:pt idx="176">
                  <c:v>902282.11253843817</c:v>
                </c:pt>
                <c:pt idx="177">
                  <c:v>698440.43725437729</c:v>
                </c:pt>
                <c:pt idx="178">
                  <c:v>754882.49086245778</c:v>
                </c:pt>
                <c:pt idx="179">
                  <c:v>834328.31376793189</c:v>
                </c:pt>
                <c:pt idx="180">
                  <c:v>866888.80664809712</c:v>
                </c:pt>
                <c:pt idx="181">
                  <c:v>765340.13071255141</c:v>
                </c:pt>
                <c:pt idx="182">
                  <c:v>805691.18397890218</c:v>
                </c:pt>
                <c:pt idx="183">
                  <c:v>834923.35338050581</c:v>
                </c:pt>
                <c:pt idx="184">
                  <c:v>683915.79388460307</c:v>
                </c:pt>
                <c:pt idx="185">
                  <c:v>631279.093706007</c:v>
                </c:pt>
                <c:pt idx="186">
                  <c:v>671659.45836138364</c:v>
                </c:pt>
                <c:pt idx="187">
                  <c:v>744954.38282641978</c:v>
                </c:pt>
                <c:pt idx="188">
                  <c:v>603421.15500323405</c:v>
                </c:pt>
                <c:pt idx="189">
                  <c:v>540174.06532746181</c:v>
                </c:pt>
                <c:pt idx="190">
                  <c:v>466761.38971965393</c:v>
                </c:pt>
                <c:pt idx="191">
                  <c:v>598758.02773128334</c:v>
                </c:pt>
                <c:pt idx="192">
                  <c:v>700537.49887354765</c:v>
                </c:pt>
                <c:pt idx="193">
                  <c:v>632424.67772512883</c:v>
                </c:pt>
                <c:pt idx="194">
                  <c:v>579529.2231825029</c:v>
                </c:pt>
                <c:pt idx="195">
                  <c:v>547015.96087993577</c:v>
                </c:pt>
                <c:pt idx="196">
                  <c:v>644119.45895451575</c:v>
                </c:pt>
                <c:pt idx="197">
                  <c:v>609830.0913451761</c:v>
                </c:pt>
                <c:pt idx="198">
                  <c:v>609294.93056210002</c:v>
                </c:pt>
                <c:pt idx="199">
                  <c:v>644468.57750868099</c:v>
                </c:pt>
                <c:pt idx="200">
                  <c:v>618613.30020958174</c:v>
                </c:pt>
                <c:pt idx="201">
                  <c:v>694264.52827036101</c:v>
                </c:pt>
                <c:pt idx="202">
                  <c:v>672920.3907789744</c:v>
                </c:pt>
                <c:pt idx="203">
                  <c:v>667813.4776217438</c:v>
                </c:pt>
                <c:pt idx="204">
                  <c:v>820865.03577741864</c:v>
                </c:pt>
                <c:pt idx="205">
                  <c:v>720863.16134989948</c:v>
                </c:pt>
                <c:pt idx="206">
                  <c:v>745840.55207327008</c:v>
                </c:pt>
                <c:pt idx="207">
                  <c:v>736835.48676057649</c:v>
                </c:pt>
                <c:pt idx="208">
                  <c:v>807685.50590268848</c:v>
                </c:pt>
                <c:pt idx="209">
                  <c:v>778166.99716798542</c:v>
                </c:pt>
                <c:pt idx="210">
                  <c:v>956479.59241207002</c:v>
                </c:pt>
                <c:pt idx="211">
                  <c:v>779535.60019891907</c:v>
                </c:pt>
                <c:pt idx="212">
                  <c:v>783544.6402106348</c:v>
                </c:pt>
                <c:pt idx="213">
                  <c:v>764882.55475451984</c:v>
                </c:pt>
                <c:pt idx="214">
                  <c:v>778533.41821393953</c:v>
                </c:pt>
                <c:pt idx="215">
                  <c:v>832305.77385166881</c:v>
                </c:pt>
                <c:pt idx="216">
                  <c:v>652832.89315070689</c:v>
                </c:pt>
                <c:pt idx="217">
                  <c:v>589416.30470322585</c:v>
                </c:pt>
                <c:pt idx="218">
                  <c:v>600771.31896567263</c:v>
                </c:pt>
                <c:pt idx="219">
                  <c:v>568198.06603688269</c:v>
                </c:pt>
                <c:pt idx="220">
                  <c:v>696745.94540503353</c:v>
                </c:pt>
                <c:pt idx="221">
                  <c:v>675901.59374685993</c:v>
                </c:pt>
                <c:pt idx="222">
                  <c:v>734637.68708096631</c:v>
                </c:pt>
                <c:pt idx="223">
                  <c:v>779267.67089512723</c:v>
                </c:pt>
                <c:pt idx="224">
                  <c:v>622497.45226846961</c:v>
                </c:pt>
                <c:pt idx="225">
                  <c:v>554816.24351644691</c:v>
                </c:pt>
                <c:pt idx="226">
                  <c:v>567902.54907259671</c:v>
                </c:pt>
                <c:pt idx="227">
                  <c:v>486914.45440305717</c:v>
                </c:pt>
                <c:pt idx="228">
                  <c:v>640361.9656184091</c:v>
                </c:pt>
                <c:pt idx="229">
                  <c:v>816512.81975268247</c:v>
                </c:pt>
                <c:pt idx="230">
                  <c:v>646697.90033081966</c:v>
                </c:pt>
                <c:pt idx="231">
                  <c:v>616778.33238736866</c:v>
                </c:pt>
                <c:pt idx="232">
                  <c:v>605432.81452445104</c:v>
                </c:pt>
                <c:pt idx="233">
                  <c:v>652253.93195704522</c:v>
                </c:pt>
                <c:pt idx="234">
                  <c:v>665525.01914354146</c:v>
                </c:pt>
                <c:pt idx="235">
                  <c:v>665744.54873103381</c:v>
                </c:pt>
                <c:pt idx="236">
                  <c:v>789418.16609060264</c:v>
                </c:pt>
                <c:pt idx="237">
                  <c:v>823807.79618193081</c:v>
                </c:pt>
                <c:pt idx="238">
                  <c:v>789712.12307217333</c:v>
                </c:pt>
                <c:pt idx="239">
                  <c:v>740691.54283226165</c:v>
                </c:pt>
                <c:pt idx="240">
                  <c:v>729240.50084088661</c:v>
                </c:pt>
                <c:pt idx="241">
                  <c:v>647499.42178190092</c:v>
                </c:pt>
                <c:pt idx="242">
                  <c:v>809522.53965045628</c:v>
                </c:pt>
                <c:pt idx="243">
                  <c:v>733810.67378014571</c:v>
                </c:pt>
                <c:pt idx="244">
                  <c:v>784201.24449038168</c:v>
                </c:pt>
                <c:pt idx="245">
                  <c:v>752039.21015795367</c:v>
                </c:pt>
                <c:pt idx="246">
                  <c:v>698439.59981694445</c:v>
                </c:pt>
                <c:pt idx="247">
                  <c:v>681153.61522291065</c:v>
                </c:pt>
                <c:pt idx="248">
                  <c:v>567578.37976195395</c:v>
                </c:pt>
                <c:pt idx="249">
                  <c:v>678409.66144027503</c:v>
                </c:pt>
                <c:pt idx="250">
                  <c:v>635904.33263238019</c:v>
                </c:pt>
                <c:pt idx="251">
                  <c:v>737015.10350888933</c:v>
                </c:pt>
                <c:pt idx="252">
                  <c:v>720508.98809447594</c:v>
                </c:pt>
                <c:pt idx="253">
                  <c:v>700141.17981703172</c:v>
                </c:pt>
                <c:pt idx="254">
                  <c:v>674146.51351943857</c:v>
                </c:pt>
                <c:pt idx="255">
                  <c:v>639767.33521367819</c:v>
                </c:pt>
                <c:pt idx="256">
                  <c:v>748037.41978896922</c:v>
                </c:pt>
                <c:pt idx="257">
                  <c:v>680983.84657363081</c:v>
                </c:pt>
                <c:pt idx="258">
                  <c:v>731648.10170362098</c:v>
                </c:pt>
                <c:pt idx="259">
                  <c:v>710319.38130024227</c:v>
                </c:pt>
                <c:pt idx="260">
                  <c:v>521515.30751900194</c:v>
                </c:pt>
                <c:pt idx="261">
                  <c:v>609499.25749626092</c:v>
                </c:pt>
                <c:pt idx="262">
                  <c:v>630129.23140346585</c:v>
                </c:pt>
                <c:pt idx="263">
                  <c:v>597224.16415453062</c:v>
                </c:pt>
                <c:pt idx="264">
                  <c:v>708845.24992508371</c:v>
                </c:pt>
                <c:pt idx="265">
                  <c:v>741966.93419628928</c:v>
                </c:pt>
                <c:pt idx="266">
                  <c:v>721057.07227916224</c:v>
                </c:pt>
                <c:pt idx="267">
                  <c:v>721990.70981133985</c:v>
                </c:pt>
                <c:pt idx="268">
                  <c:v>720581.51689546101</c:v>
                </c:pt>
                <c:pt idx="269">
                  <c:v>688262.93965865113</c:v>
                </c:pt>
                <c:pt idx="270">
                  <c:v>799326.72740102338</c:v>
                </c:pt>
                <c:pt idx="271">
                  <c:v>677720.52428942418</c:v>
                </c:pt>
                <c:pt idx="272">
                  <c:v>658511.06718635885</c:v>
                </c:pt>
                <c:pt idx="273">
                  <c:v>532747.64461966697</c:v>
                </c:pt>
                <c:pt idx="274">
                  <c:v>649967.09500705439</c:v>
                </c:pt>
                <c:pt idx="275">
                  <c:v>634171.28410680173</c:v>
                </c:pt>
                <c:pt idx="276">
                  <c:v>750465.11324100103</c:v>
                </c:pt>
                <c:pt idx="277">
                  <c:v>714696.64467765065</c:v>
                </c:pt>
                <c:pt idx="278">
                  <c:v>753636.70430260745</c:v>
                </c:pt>
                <c:pt idx="279">
                  <c:v>789585.83970078046</c:v>
                </c:pt>
                <c:pt idx="280">
                  <c:v>585392.6765876296</c:v>
                </c:pt>
                <c:pt idx="281">
                  <c:v>585458.1922143054</c:v>
                </c:pt>
                <c:pt idx="282">
                  <c:v>666073.97084973997</c:v>
                </c:pt>
                <c:pt idx="283">
                  <c:v>516199.52052399365</c:v>
                </c:pt>
                <c:pt idx="284">
                  <c:v>669034.99367261969</c:v>
                </c:pt>
                <c:pt idx="285">
                  <c:v>637682.42574972776</c:v>
                </c:pt>
                <c:pt idx="286">
                  <c:v>601161.78824034473</c:v>
                </c:pt>
                <c:pt idx="287">
                  <c:v>583246.20396702818</c:v>
                </c:pt>
                <c:pt idx="288">
                  <c:v>744476.02150991966</c:v>
                </c:pt>
                <c:pt idx="289">
                  <c:v>719087.23545677611</c:v>
                </c:pt>
                <c:pt idx="290">
                  <c:v>744541.85133001755</c:v>
                </c:pt>
                <c:pt idx="291">
                  <c:v>703505.60489899642</c:v>
                </c:pt>
                <c:pt idx="292">
                  <c:v>594017.27207521291</c:v>
                </c:pt>
                <c:pt idx="293">
                  <c:v>528909.13146417751</c:v>
                </c:pt>
                <c:pt idx="294">
                  <c:v>505104.19464019005</c:v>
                </c:pt>
                <c:pt idx="295">
                  <c:v>488537.97863514739</c:v>
                </c:pt>
                <c:pt idx="296">
                  <c:v>672640.45410775626</c:v>
                </c:pt>
                <c:pt idx="297">
                  <c:v>666891.68220752</c:v>
                </c:pt>
                <c:pt idx="298">
                  <c:v>621513.63382172515</c:v>
                </c:pt>
                <c:pt idx="299">
                  <c:v>481106.97595513979</c:v>
                </c:pt>
                <c:pt idx="300">
                  <c:v>714974.57708338555</c:v>
                </c:pt>
                <c:pt idx="301">
                  <c:v>738630.66342417244</c:v>
                </c:pt>
                <c:pt idx="302">
                  <c:v>729651.17455352668</c:v>
                </c:pt>
                <c:pt idx="303">
                  <c:v>697770.20527669415</c:v>
                </c:pt>
                <c:pt idx="304">
                  <c:v>669858.33989245049</c:v>
                </c:pt>
                <c:pt idx="305">
                  <c:v>647387.64818553219</c:v>
                </c:pt>
                <c:pt idx="306">
                  <c:v>628274.38222412451</c:v>
                </c:pt>
                <c:pt idx="307">
                  <c:v>681416.76416687807</c:v>
                </c:pt>
                <c:pt idx="308">
                  <c:v>639039.68042602704</c:v>
                </c:pt>
                <c:pt idx="309">
                  <c:v>593808.81437924667</c:v>
                </c:pt>
                <c:pt idx="310">
                  <c:v>630720.46057469351</c:v>
                </c:pt>
                <c:pt idx="311">
                  <c:v>740562.05549299705</c:v>
                </c:pt>
                <c:pt idx="312">
                  <c:v>699110.01181331405</c:v>
                </c:pt>
                <c:pt idx="313">
                  <c:v>708852.73812193319</c:v>
                </c:pt>
                <c:pt idx="314">
                  <c:v>668681.35318483552</c:v>
                </c:pt>
                <c:pt idx="315">
                  <c:v>804819.77224413783</c:v>
                </c:pt>
                <c:pt idx="316">
                  <c:v>665261.79580303817</c:v>
                </c:pt>
                <c:pt idx="317">
                  <c:v>547982.80290306825</c:v>
                </c:pt>
                <c:pt idx="318">
                  <c:v>739340.97925306484</c:v>
                </c:pt>
                <c:pt idx="319">
                  <c:v>614228.872199176</c:v>
                </c:pt>
              </c:numCache>
            </c:numRef>
          </c:yVal>
          <c:smooth val="0"/>
          <c:extLst>
            <c:ext xmlns:c16="http://schemas.microsoft.com/office/drawing/2014/chart" uri="{C3380CC4-5D6E-409C-BE32-E72D297353CC}">
              <c16:uniqueId val="{00000001-FCF7-480E-89E7-F3100D7482E8}"/>
            </c:ext>
          </c:extLst>
        </c:ser>
        <c:dLbls>
          <c:showLegendKey val="0"/>
          <c:showVal val="0"/>
          <c:showCatName val="0"/>
          <c:showSerName val="0"/>
          <c:showPercent val="0"/>
          <c:showBubbleSize val="0"/>
        </c:dLbls>
        <c:axId val="596893688"/>
        <c:axId val="399675032"/>
      </c:scatterChart>
      <c:valAx>
        <c:axId val="596893688"/>
        <c:scaling>
          <c:orientation val="minMax"/>
        </c:scaling>
        <c:delete val="0"/>
        <c:axPos val="b"/>
        <c:title>
          <c:tx>
            <c:rich>
              <a:bodyPr/>
              <a:lstStyle/>
              <a:p>
                <a:pPr>
                  <a:defRPr/>
                </a:pPr>
                <a:r>
                  <a:rPr lang="en-IN"/>
                  <a:t>West Dummy</a:t>
                </a:r>
              </a:p>
            </c:rich>
          </c:tx>
          <c:overlay val="0"/>
        </c:title>
        <c:numFmt formatCode="General" sourceLinked="1"/>
        <c:majorTickMark val="out"/>
        <c:minorTickMark val="none"/>
        <c:tickLblPos val="nextTo"/>
        <c:crossAx val="399675032"/>
        <c:crosses val="autoZero"/>
        <c:crossBetween val="midCat"/>
      </c:valAx>
      <c:valAx>
        <c:axId val="399675032"/>
        <c:scaling>
          <c:orientation val="minMax"/>
        </c:scaling>
        <c:delete val="0"/>
        <c:axPos val="l"/>
        <c:title>
          <c:tx>
            <c:rich>
              <a:bodyPr/>
              <a:lstStyle/>
              <a:p>
                <a:pPr>
                  <a:defRPr/>
                </a:pPr>
                <a:r>
                  <a:rPr lang="en-IN"/>
                  <a:t>monthly_sales</a:t>
                </a:r>
              </a:p>
            </c:rich>
          </c:tx>
          <c:overlay val="0"/>
        </c:title>
        <c:numFmt formatCode="General" sourceLinked="1"/>
        <c:majorTickMark val="out"/>
        <c:minorTickMark val="none"/>
        <c:tickLblPos val="nextTo"/>
        <c:crossAx val="596893688"/>
        <c:crosses val="autoZero"/>
        <c:crossBetween val="midCat"/>
      </c:valAx>
    </c:plotArea>
    <c:legend>
      <c:legendPos val="r"/>
      <c:overlay val="0"/>
    </c:legend>
    <c:plotVisOnly val="1"/>
    <c:dispBlanksAs val="gap"/>
    <c:extLst>
      <c:ext xmlns:c16r3="http://schemas.microsoft.com/office/drawing/2017/03/chart" uri="{56B9EC1D-385E-4148-901F-78D8002777C0}">
        <c16r3:dataDisplayOptions16>
          <c16r3:dispNaAsBlank val="1"/>
        </c16r3:dataDisplayOptions16>
      </c:ext>
    </c:extLst>
    <c:showDLblsOverMax val="0"/>
  </c:chart>
  <c:printSettings>
    <c:headerFooter/>
    <c:pageMargins b="0.75" l="0.7" r="0.7" t="0.75" header="0.3" footer="0.3"/>
    <c:pageSetup/>
  </c:printSettings>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a:pPr>
            <a:r>
              <a:rPr lang="en-IN"/>
              <a:t>avg_discount_pct Line Fit  Plot</a:t>
            </a:r>
          </a:p>
        </c:rich>
      </c:tx>
      <c:overlay val="0"/>
    </c:title>
    <c:autoTitleDeleted val="0"/>
    <c:plotArea>
      <c:layout/>
      <c:scatterChart>
        <c:scatterStyle val="lineMarker"/>
        <c:varyColors val="0"/>
        <c:ser>
          <c:idx val="0"/>
          <c:order val="0"/>
          <c:tx>
            <c:v>monthly_sales</c:v>
          </c:tx>
          <c:spPr>
            <a:ln w="38100">
              <a:noFill/>
            </a:ln>
          </c:spPr>
          <c:xVal>
            <c:numRef>
              <c:f>store_performance!$J$2:$J$321</c:f>
              <c:numCache>
                <c:formatCode>General</c:formatCode>
                <c:ptCount val="320"/>
                <c:pt idx="0">
                  <c:v>4.2000000000000003E-2</c:v>
                </c:pt>
                <c:pt idx="1">
                  <c:v>0.16800000000000001</c:v>
                </c:pt>
                <c:pt idx="2">
                  <c:v>0.13300000000000001</c:v>
                </c:pt>
                <c:pt idx="3">
                  <c:v>0.14199999999999999</c:v>
                </c:pt>
                <c:pt idx="4">
                  <c:v>0.23100000000000001</c:v>
                </c:pt>
                <c:pt idx="5">
                  <c:v>0.112</c:v>
                </c:pt>
                <c:pt idx="6">
                  <c:v>0.122</c:v>
                </c:pt>
                <c:pt idx="7">
                  <c:v>0.127</c:v>
                </c:pt>
                <c:pt idx="8">
                  <c:v>0.215</c:v>
                </c:pt>
                <c:pt idx="9">
                  <c:v>0.22</c:v>
                </c:pt>
                <c:pt idx="10">
                  <c:v>0.21299999999999999</c:v>
                </c:pt>
                <c:pt idx="11">
                  <c:v>2E-3</c:v>
                </c:pt>
                <c:pt idx="12">
                  <c:v>0.11600000000000001</c:v>
                </c:pt>
                <c:pt idx="13">
                  <c:v>0.14599999999999999</c:v>
                </c:pt>
                <c:pt idx="14">
                  <c:v>0.22800000000000001</c:v>
                </c:pt>
                <c:pt idx="15">
                  <c:v>6.0000000000000001E-3</c:v>
                </c:pt>
                <c:pt idx="16">
                  <c:v>5.0000000000000001E-3</c:v>
                </c:pt>
                <c:pt idx="17">
                  <c:v>0.11899999999999999</c:v>
                </c:pt>
                <c:pt idx="18">
                  <c:v>0</c:v>
                </c:pt>
                <c:pt idx="19">
                  <c:v>0.158</c:v>
                </c:pt>
                <c:pt idx="20">
                  <c:v>0.23100000000000001</c:v>
                </c:pt>
                <c:pt idx="21">
                  <c:v>0.17599999999999999</c:v>
                </c:pt>
                <c:pt idx="22">
                  <c:v>0.16</c:v>
                </c:pt>
                <c:pt idx="23">
                  <c:v>0.216</c:v>
                </c:pt>
                <c:pt idx="24">
                  <c:v>0.121</c:v>
                </c:pt>
                <c:pt idx="25">
                  <c:v>0.14000000000000001</c:v>
                </c:pt>
                <c:pt idx="26">
                  <c:v>0.16900000000000001</c:v>
                </c:pt>
                <c:pt idx="27">
                  <c:v>0.122</c:v>
                </c:pt>
                <c:pt idx="28">
                  <c:v>0.124</c:v>
                </c:pt>
                <c:pt idx="29">
                  <c:v>0.216</c:v>
                </c:pt>
                <c:pt idx="30">
                  <c:v>0.13600000000000001</c:v>
                </c:pt>
                <c:pt idx="31">
                  <c:v>0.16800000000000001</c:v>
                </c:pt>
                <c:pt idx="32">
                  <c:v>0.188</c:v>
                </c:pt>
                <c:pt idx="33">
                  <c:v>7.0000000000000007E-2</c:v>
                </c:pt>
                <c:pt idx="34">
                  <c:v>3.9E-2</c:v>
                </c:pt>
                <c:pt idx="35">
                  <c:v>0.247</c:v>
                </c:pt>
                <c:pt idx="36">
                  <c:v>9.1999999999999998E-2</c:v>
                </c:pt>
                <c:pt idx="37">
                  <c:v>0.156</c:v>
                </c:pt>
                <c:pt idx="38">
                  <c:v>0.19800000000000001</c:v>
                </c:pt>
                <c:pt idx="39">
                  <c:v>8.5000000000000006E-2</c:v>
                </c:pt>
                <c:pt idx="40">
                  <c:v>0.218</c:v>
                </c:pt>
                <c:pt idx="41">
                  <c:v>0.14299999999999999</c:v>
                </c:pt>
                <c:pt idx="42">
                  <c:v>0.128</c:v>
                </c:pt>
                <c:pt idx="43">
                  <c:v>1.9E-2</c:v>
                </c:pt>
                <c:pt idx="44">
                  <c:v>0.06</c:v>
                </c:pt>
                <c:pt idx="45">
                  <c:v>0.23499999999999999</c:v>
                </c:pt>
                <c:pt idx="46">
                  <c:v>0.113</c:v>
                </c:pt>
                <c:pt idx="47">
                  <c:v>0.155</c:v>
                </c:pt>
                <c:pt idx="48">
                  <c:v>0.109</c:v>
                </c:pt>
                <c:pt idx="49">
                  <c:v>0.218</c:v>
                </c:pt>
                <c:pt idx="50">
                  <c:v>8.0000000000000002E-3</c:v>
                </c:pt>
                <c:pt idx="51">
                  <c:v>0.05</c:v>
                </c:pt>
                <c:pt idx="52">
                  <c:v>8.6999999999999994E-2</c:v>
                </c:pt>
                <c:pt idx="53">
                  <c:v>0.26200000000000001</c:v>
                </c:pt>
                <c:pt idx="54">
                  <c:v>0.106</c:v>
                </c:pt>
                <c:pt idx="55">
                  <c:v>0.08</c:v>
                </c:pt>
                <c:pt idx="56">
                  <c:v>0</c:v>
                </c:pt>
                <c:pt idx="57">
                  <c:v>3.9E-2</c:v>
                </c:pt>
                <c:pt idx="58">
                  <c:v>0.13700000000000001</c:v>
                </c:pt>
                <c:pt idx="59">
                  <c:v>9.1999999999999998E-2</c:v>
                </c:pt>
                <c:pt idx="60">
                  <c:v>6.2E-2</c:v>
                </c:pt>
                <c:pt idx="61">
                  <c:v>7.3999999999999996E-2</c:v>
                </c:pt>
                <c:pt idx="62">
                  <c:v>0.113</c:v>
                </c:pt>
                <c:pt idx="63">
                  <c:v>5.3999999999999999E-2</c:v>
                </c:pt>
                <c:pt idx="64">
                  <c:v>0.107</c:v>
                </c:pt>
                <c:pt idx="65">
                  <c:v>0.156</c:v>
                </c:pt>
                <c:pt idx="66">
                  <c:v>0.10199999999999999</c:v>
                </c:pt>
                <c:pt idx="67">
                  <c:v>0.115</c:v>
                </c:pt>
                <c:pt idx="68">
                  <c:v>0.14099999999999999</c:v>
                </c:pt>
                <c:pt idx="69">
                  <c:v>0.191</c:v>
                </c:pt>
                <c:pt idx="70">
                  <c:v>0.19700000000000001</c:v>
                </c:pt>
                <c:pt idx="71">
                  <c:v>3.5999999999999997E-2</c:v>
                </c:pt>
                <c:pt idx="72">
                  <c:v>0.27700000000000002</c:v>
                </c:pt>
                <c:pt idx="73">
                  <c:v>6.6000000000000003E-2</c:v>
                </c:pt>
                <c:pt idx="74">
                  <c:v>0.17799999999999999</c:v>
                </c:pt>
                <c:pt idx="75">
                  <c:v>0.20300000000000001</c:v>
                </c:pt>
                <c:pt idx="76">
                  <c:v>0.1</c:v>
                </c:pt>
                <c:pt idx="77">
                  <c:v>6.4000000000000001E-2</c:v>
                </c:pt>
                <c:pt idx="78">
                  <c:v>0.17199999999999999</c:v>
                </c:pt>
                <c:pt idx="79">
                  <c:v>0.252</c:v>
                </c:pt>
                <c:pt idx="80">
                  <c:v>0.17899999999999999</c:v>
                </c:pt>
                <c:pt idx="81">
                  <c:v>9.5000000000000001E-2</c:v>
                </c:pt>
                <c:pt idx="82">
                  <c:v>8.4000000000000005E-2</c:v>
                </c:pt>
                <c:pt idx="83">
                  <c:v>0.03</c:v>
                </c:pt>
                <c:pt idx="84">
                  <c:v>0.108</c:v>
                </c:pt>
                <c:pt idx="85">
                  <c:v>0.20599999999999999</c:v>
                </c:pt>
                <c:pt idx="86">
                  <c:v>5.8999999999999997E-2</c:v>
                </c:pt>
                <c:pt idx="87">
                  <c:v>0.14499999999999999</c:v>
                </c:pt>
                <c:pt idx="88">
                  <c:v>2.9000000000000001E-2</c:v>
                </c:pt>
                <c:pt idx="89">
                  <c:v>1.2999999999999999E-2</c:v>
                </c:pt>
                <c:pt idx="90">
                  <c:v>0.04</c:v>
                </c:pt>
                <c:pt idx="91">
                  <c:v>4.2999999999999997E-2</c:v>
                </c:pt>
                <c:pt idx="92">
                  <c:v>0.19400000000000001</c:v>
                </c:pt>
                <c:pt idx="93">
                  <c:v>0</c:v>
                </c:pt>
                <c:pt idx="94">
                  <c:v>7.2999999999999995E-2</c:v>
                </c:pt>
                <c:pt idx="95">
                  <c:v>7.3999999999999996E-2</c:v>
                </c:pt>
                <c:pt idx="96">
                  <c:v>0.16300000000000001</c:v>
                </c:pt>
                <c:pt idx="97">
                  <c:v>0.17100000000000001</c:v>
                </c:pt>
                <c:pt idx="98">
                  <c:v>7.4999999999999997E-2</c:v>
                </c:pt>
                <c:pt idx="99">
                  <c:v>0.189</c:v>
                </c:pt>
                <c:pt idx="100">
                  <c:v>0.15</c:v>
                </c:pt>
                <c:pt idx="101">
                  <c:v>0.17299999999999999</c:v>
                </c:pt>
                <c:pt idx="102">
                  <c:v>0.185</c:v>
                </c:pt>
                <c:pt idx="103">
                  <c:v>0.08</c:v>
                </c:pt>
                <c:pt idx="104">
                  <c:v>0.10299999999999999</c:v>
                </c:pt>
                <c:pt idx="105">
                  <c:v>5.6000000000000001E-2</c:v>
                </c:pt>
                <c:pt idx="106">
                  <c:v>0.13300000000000001</c:v>
                </c:pt>
                <c:pt idx="107">
                  <c:v>5.0999999999999997E-2</c:v>
                </c:pt>
                <c:pt idx="108">
                  <c:v>0.157</c:v>
                </c:pt>
                <c:pt idx="109">
                  <c:v>0.29199999999999998</c:v>
                </c:pt>
                <c:pt idx="110">
                  <c:v>8.8999999999999996E-2</c:v>
                </c:pt>
                <c:pt idx="111">
                  <c:v>5.7000000000000002E-2</c:v>
                </c:pt>
                <c:pt idx="112">
                  <c:v>0.17299999999999999</c:v>
                </c:pt>
                <c:pt idx="113">
                  <c:v>0.14199999999999999</c:v>
                </c:pt>
                <c:pt idx="114">
                  <c:v>0.159</c:v>
                </c:pt>
                <c:pt idx="115">
                  <c:v>0.13900000000000001</c:v>
                </c:pt>
                <c:pt idx="116">
                  <c:v>0.19</c:v>
                </c:pt>
                <c:pt idx="117">
                  <c:v>0.151</c:v>
                </c:pt>
                <c:pt idx="118">
                  <c:v>0.13300000000000001</c:v>
                </c:pt>
                <c:pt idx="119">
                  <c:v>0.23200000000000001</c:v>
                </c:pt>
                <c:pt idx="120">
                  <c:v>8.7999999999999995E-2</c:v>
                </c:pt>
                <c:pt idx="121">
                  <c:v>0</c:v>
                </c:pt>
                <c:pt idx="122">
                  <c:v>6.9000000000000006E-2</c:v>
                </c:pt>
                <c:pt idx="123">
                  <c:v>0.216</c:v>
                </c:pt>
                <c:pt idx="124">
                  <c:v>0.123</c:v>
                </c:pt>
                <c:pt idx="125">
                  <c:v>0.17599999999999999</c:v>
                </c:pt>
                <c:pt idx="126">
                  <c:v>0.20399999999999999</c:v>
                </c:pt>
                <c:pt idx="127">
                  <c:v>9.6000000000000002E-2</c:v>
                </c:pt>
                <c:pt idx="128">
                  <c:v>0.14199999999999999</c:v>
                </c:pt>
                <c:pt idx="129">
                  <c:v>0.20699999999999999</c:v>
                </c:pt>
                <c:pt idx="130">
                  <c:v>0.14399999999999999</c:v>
                </c:pt>
                <c:pt idx="131">
                  <c:v>8.8999999999999996E-2</c:v>
                </c:pt>
                <c:pt idx="132">
                  <c:v>7.9000000000000001E-2</c:v>
                </c:pt>
                <c:pt idx="133">
                  <c:v>0.19600000000000001</c:v>
                </c:pt>
                <c:pt idx="134">
                  <c:v>8.5999999999999993E-2</c:v>
                </c:pt>
                <c:pt idx="135">
                  <c:v>0.182</c:v>
                </c:pt>
                <c:pt idx="136">
                  <c:v>4.8000000000000001E-2</c:v>
                </c:pt>
                <c:pt idx="137">
                  <c:v>7.9000000000000001E-2</c:v>
                </c:pt>
                <c:pt idx="138">
                  <c:v>0.152</c:v>
                </c:pt>
                <c:pt idx="139">
                  <c:v>0.187</c:v>
                </c:pt>
                <c:pt idx="140">
                  <c:v>0.23400000000000001</c:v>
                </c:pt>
                <c:pt idx="141">
                  <c:v>3.7999999999999999E-2</c:v>
                </c:pt>
                <c:pt idx="142">
                  <c:v>6.9000000000000006E-2</c:v>
                </c:pt>
                <c:pt idx="143">
                  <c:v>0.182</c:v>
                </c:pt>
                <c:pt idx="144">
                  <c:v>0.16900000000000001</c:v>
                </c:pt>
                <c:pt idx="145">
                  <c:v>0.06</c:v>
                </c:pt>
                <c:pt idx="146">
                  <c:v>0.156</c:v>
                </c:pt>
                <c:pt idx="147">
                  <c:v>0.108</c:v>
                </c:pt>
                <c:pt idx="148">
                  <c:v>4.7E-2</c:v>
                </c:pt>
                <c:pt idx="149">
                  <c:v>4.3999999999999997E-2</c:v>
                </c:pt>
                <c:pt idx="150">
                  <c:v>0.1</c:v>
                </c:pt>
                <c:pt idx="151">
                  <c:v>0.19700000000000001</c:v>
                </c:pt>
                <c:pt idx="152">
                  <c:v>0.23400000000000001</c:v>
                </c:pt>
                <c:pt idx="153">
                  <c:v>0.16900000000000001</c:v>
                </c:pt>
                <c:pt idx="154">
                  <c:v>0.18</c:v>
                </c:pt>
                <c:pt idx="155">
                  <c:v>0.187</c:v>
                </c:pt>
                <c:pt idx="156">
                  <c:v>5.7000000000000002E-2</c:v>
                </c:pt>
                <c:pt idx="157">
                  <c:v>0.114</c:v>
                </c:pt>
                <c:pt idx="158">
                  <c:v>0.158</c:v>
                </c:pt>
                <c:pt idx="159">
                  <c:v>0.159</c:v>
                </c:pt>
                <c:pt idx="160">
                  <c:v>0.17499999999999999</c:v>
                </c:pt>
                <c:pt idx="161">
                  <c:v>3.4000000000000002E-2</c:v>
                </c:pt>
                <c:pt idx="162">
                  <c:v>0.193</c:v>
                </c:pt>
                <c:pt idx="163">
                  <c:v>7.4999999999999997E-2</c:v>
                </c:pt>
                <c:pt idx="164">
                  <c:v>0.157</c:v>
                </c:pt>
                <c:pt idx="165">
                  <c:v>0.123</c:v>
                </c:pt>
                <c:pt idx="166">
                  <c:v>0.09</c:v>
                </c:pt>
                <c:pt idx="167">
                  <c:v>0.126</c:v>
                </c:pt>
                <c:pt idx="168">
                  <c:v>0.13600000000000001</c:v>
                </c:pt>
                <c:pt idx="169">
                  <c:v>9.9000000000000005E-2</c:v>
                </c:pt>
                <c:pt idx="170">
                  <c:v>0.157</c:v>
                </c:pt>
                <c:pt idx="171">
                  <c:v>0.11799999999999999</c:v>
                </c:pt>
                <c:pt idx="172">
                  <c:v>0.157</c:v>
                </c:pt>
                <c:pt idx="173">
                  <c:v>0.109</c:v>
                </c:pt>
                <c:pt idx="174">
                  <c:v>0.125</c:v>
                </c:pt>
                <c:pt idx="175">
                  <c:v>0.159</c:v>
                </c:pt>
                <c:pt idx="176">
                  <c:v>4.5999999999999999E-2</c:v>
                </c:pt>
                <c:pt idx="177">
                  <c:v>0.17699999999999999</c:v>
                </c:pt>
                <c:pt idx="178">
                  <c:v>4.1000000000000002E-2</c:v>
                </c:pt>
                <c:pt idx="179">
                  <c:v>1.2999999999999999E-2</c:v>
                </c:pt>
                <c:pt idx="180">
                  <c:v>1E-3</c:v>
                </c:pt>
                <c:pt idx="181">
                  <c:v>0.14099999999999999</c:v>
                </c:pt>
                <c:pt idx="182">
                  <c:v>0.113</c:v>
                </c:pt>
                <c:pt idx="183">
                  <c:v>7.0000000000000007E-2</c:v>
                </c:pt>
                <c:pt idx="184">
                  <c:v>7.1999999999999995E-2</c:v>
                </c:pt>
                <c:pt idx="185">
                  <c:v>0.161</c:v>
                </c:pt>
                <c:pt idx="186">
                  <c:v>6.7000000000000004E-2</c:v>
                </c:pt>
                <c:pt idx="187">
                  <c:v>9.4E-2</c:v>
                </c:pt>
                <c:pt idx="188">
                  <c:v>0</c:v>
                </c:pt>
                <c:pt idx="189">
                  <c:v>5.8000000000000003E-2</c:v>
                </c:pt>
                <c:pt idx="190">
                  <c:v>0.25900000000000001</c:v>
                </c:pt>
                <c:pt idx="191">
                  <c:v>0.186</c:v>
                </c:pt>
                <c:pt idx="192">
                  <c:v>0.16400000000000001</c:v>
                </c:pt>
                <c:pt idx="193">
                  <c:v>0.15</c:v>
                </c:pt>
                <c:pt idx="194">
                  <c:v>8.8999999999999996E-2</c:v>
                </c:pt>
                <c:pt idx="195">
                  <c:v>0.22900000000000001</c:v>
                </c:pt>
                <c:pt idx="196">
                  <c:v>9.8000000000000004E-2</c:v>
                </c:pt>
                <c:pt idx="197">
                  <c:v>2.7E-2</c:v>
                </c:pt>
                <c:pt idx="198">
                  <c:v>0.28399999999999997</c:v>
                </c:pt>
                <c:pt idx="199">
                  <c:v>0.189</c:v>
                </c:pt>
                <c:pt idx="200">
                  <c:v>0.123</c:v>
                </c:pt>
                <c:pt idx="201">
                  <c:v>0.15</c:v>
                </c:pt>
                <c:pt idx="202">
                  <c:v>3.2000000000000001E-2</c:v>
                </c:pt>
                <c:pt idx="203">
                  <c:v>0.127</c:v>
                </c:pt>
                <c:pt idx="204">
                  <c:v>7.0000000000000007E-2</c:v>
                </c:pt>
                <c:pt idx="205">
                  <c:v>0.107</c:v>
                </c:pt>
                <c:pt idx="206">
                  <c:v>0.14899999999999999</c:v>
                </c:pt>
                <c:pt idx="207">
                  <c:v>0.11600000000000001</c:v>
                </c:pt>
                <c:pt idx="208">
                  <c:v>9.7000000000000003E-2</c:v>
                </c:pt>
                <c:pt idx="209">
                  <c:v>0.17100000000000001</c:v>
                </c:pt>
                <c:pt idx="210">
                  <c:v>2.9000000000000001E-2</c:v>
                </c:pt>
                <c:pt idx="211">
                  <c:v>9.2999999999999999E-2</c:v>
                </c:pt>
                <c:pt idx="212">
                  <c:v>9.0999999999999998E-2</c:v>
                </c:pt>
                <c:pt idx="213">
                  <c:v>0.15</c:v>
                </c:pt>
                <c:pt idx="214">
                  <c:v>0</c:v>
                </c:pt>
                <c:pt idx="215">
                  <c:v>0.14699999999999999</c:v>
                </c:pt>
                <c:pt idx="216">
                  <c:v>0.126</c:v>
                </c:pt>
                <c:pt idx="217">
                  <c:v>0.246</c:v>
                </c:pt>
                <c:pt idx="218">
                  <c:v>0.22900000000000001</c:v>
                </c:pt>
                <c:pt idx="219">
                  <c:v>0.13300000000000001</c:v>
                </c:pt>
                <c:pt idx="220">
                  <c:v>0.14599999999999999</c:v>
                </c:pt>
                <c:pt idx="221">
                  <c:v>8.7999999999999995E-2</c:v>
                </c:pt>
                <c:pt idx="222">
                  <c:v>0.11600000000000001</c:v>
                </c:pt>
                <c:pt idx="223">
                  <c:v>3.5000000000000003E-2</c:v>
                </c:pt>
                <c:pt idx="224">
                  <c:v>0.19800000000000001</c:v>
                </c:pt>
                <c:pt idx="225">
                  <c:v>0.112</c:v>
                </c:pt>
                <c:pt idx="226">
                  <c:v>0.17100000000000001</c:v>
                </c:pt>
                <c:pt idx="227">
                  <c:v>9.2999999999999999E-2</c:v>
                </c:pt>
                <c:pt idx="228">
                  <c:v>7.0999999999999994E-2</c:v>
                </c:pt>
                <c:pt idx="229">
                  <c:v>0.20200000000000001</c:v>
                </c:pt>
                <c:pt idx="230">
                  <c:v>0.16900000000000001</c:v>
                </c:pt>
                <c:pt idx="231">
                  <c:v>0</c:v>
                </c:pt>
                <c:pt idx="232">
                  <c:v>6.9000000000000006E-2</c:v>
                </c:pt>
                <c:pt idx="233">
                  <c:v>0.126</c:v>
                </c:pt>
                <c:pt idx="234">
                  <c:v>4.8000000000000001E-2</c:v>
                </c:pt>
                <c:pt idx="235">
                  <c:v>0.11899999999999999</c:v>
                </c:pt>
                <c:pt idx="236">
                  <c:v>0.121</c:v>
                </c:pt>
                <c:pt idx="237">
                  <c:v>0.106</c:v>
                </c:pt>
                <c:pt idx="238">
                  <c:v>0.20100000000000001</c:v>
                </c:pt>
                <c:pt idx="239">
                  <c:v>0.186</c:v>
                </c:pt>
                <c:pt idx="240">
                  <c:v>0.28100000000000003</c:v>
                </c:pt>
                <c:pt idx="241">
                  <c:v>5.8999999999999997E-2</c:v>
                </c:pt>
                <c:pt idx="242">
                  <c:v>0.152</c:v>
                </c:pt>
                <c:pt idx="243">
                  <c:v>0</c:v>
                </c:pt>
                <c:pt idx="244">
                  <c:v>8.4000000000000005E-2</c:v>
                </c:pt>
                <c:pt idx="245">
                  <c:v>0</c:v>
                </c:pt>
                <c:pt idx="246">
                  <c:v>0.21</c:v>
                </c:pt>
                <c:pt idx="247">
                  <c:v>0.22700000000000001</c:v>
                </c:pt>
                <c:pt idx="248">
                  <c:v>0.15</c:v>
                </c:pt>
                <c:pt idx="249">
                  <c:v>2.5999999999999999E-2</c:v>
                </c:pt>
                <c:pt idx="250">
                  <c:v>0.27300000000000002</c:v>
                </c:pt>
                <c:pt idx="251">
                  <c:v>8.6999999999999994E-2</c:v>
                </c:pt>
                <c:pt idx="252">
                  <c:v>0.05</c:v>
                </c:pt>
                <c:pt idx="253">
                  <c:v>7.3999999999999996E-2</c:v>
                </c:pt>
                <c:pt idx="254">
                  <c:v>5.8999999999999997E-2</c:v>
                </c:pt>
                <c:pt idx="255">
                  <c:v>0</c:v>
                </c:pt>
                <c:pt idx="256">
                  <c:v>5.0999999999999997E-2</c:v>
                </c:pt>
                <c:pt idx="257">
                  <c:v>0.114</c:v>
                </c:pt>
                <c:pt idx="258">
                  <c:v>0.14299999999999999</c:v>
                </c:pt>
                <c:pt idx="259">
                  <c:v>7.0000000000000001E-3</c:v>
                </c:pt>
                <c:pt idx="260">
                  <c:v>0.13500000000000001</c:v>
                </c:pt>
                <c:pt idx="261">
                  <c:v>0.16900000000000001</c:v>
                </c:pt>
                <c:pt idx="262">
                  <c:v>8.5999999999999993E-2</c:v>
                </c:pt>
                <c:pt idx="263">
                  <c:v>0.217</c:v>
                </c:pt>
                <c:pt idx="264">
                  <c:v>9.4E-2</c:v>
                </c:pt>
                <c:pt idx="265">
                  <c:v>0.21099999999999999</c:v>
                </c:pt>
                <c:pt idx="266">
                  <c:v>0.17</c:v>
                </c:pt>
                <c:pt idx="267">
                  <c:v>2.5999999999999999E-2</c:v>
                </c:pt>
                <c:pt idx="268">
                  <c:v>0.106</c:v>
                </c:pt>
                <c:pt idx="269">
                  <c:v>0.13900000000000001</c:v>
                </c:pt>
                <c:pt idx="270">
                  <c:v>0.19800000000000001</c:v>
                </c:pt>
                <c:pt idx="271">
                  <c:v>0.111</c:v>
                </c:pt>
                <c:pt idx="272">
                  <c:v>5.1999999999999998E-2</c:v>
                </c:pt>
                <c:pt idx="273">
                  <c:v>0.153</c:v>
                </c:pt>
                <c:pt idx="274">
                  <c:v>0.14099999999999999</c:v>
                </c:pt>
                <c:pt idx="275">
                  <c:v>0.247</c:v>
                </c:pt>
                <c:pt idx="276">
                  <c:v>0.13</c:v>
                </c:pt>
                <c:pt idx="277">
                  <c:v>0</c:v>
                </c:pt>
                <c:pt idx="278">
                  <c:v>0.21299999999999999</c:v>
                </c:pt>
                <c:pt idx="279">
                  <c:v>4.0000000000000001E-3</c:v>
                </c:pt>
                <c:pt idx="280">
                  <c:v>6.9000000000000006E-2</c:v>
                </c:pt>
                <c:pt idx="281">
                  <c:v>5.0999999999999997E-2</c:v>
                </c:pt>
                <c:pt idx="282">
                  <c:v>7.0000000000000007E-2</c:v>
                </c:pt>
                <c:pt idx="283">
                  <c:v>0.122</c:v>
                </c:pt>
                <c:pt idx="284">
                  <c:v>8.9999999999999993E-3</c:v>
                </c:pt>
                <c:pt idx="285">
                  <c:v>0.14000000000000001</c:v>
                </c:pt>
                <c:pt idx="286">
                  <c:v>0.183</c:v>
                </c:pt>
                <c:pt idx="287">
                  <c:v>0.17399999999999999</c:v>
                </c:pt>
                <c:pt idx="288">
                  <c:v>0.27300000000000002</c:v>
                </c:pt>
                <c:pt idx="289">
                  <c:v>0.28399999999999997</c:v>
                </c:pt>
                <c:pt idx="290">
                  <c:v>3.2000000000000001E-2</c:v>
                </c:pt>
                <c:pt idx="291">
                  <c:v>0</c:v>
                </c:pt>
                <c:pt idx="292">
                  <c:v>9.6000000000000002E-2</c:v>
                </c:pt>
                <c:pt idx="293">
                  <c:v>0.11899999999999999</c:v>
                </c:pt>
                <c:pt idx="294">
                  <c:v>0.214</c:v>
                </c:pt>
                <c:pt idx="295">
                  <c:v>0.17100000000000001</c:v>
                </c:pt>
                <c:pt idx="296">
                  <c:v>3.5999999999999997E-2</c:v>
                </c:pt>
                <c:pt idx="297">
                  <c:v>0.10199999999999999</c:v>
                </c:pt>
                <c:pt idx="298">
                  <c:v>0.114</c:v>
                </c:pt>
                <c:pt idx="299">
                  <c:v>0.11700000000000001</c:v>
                </c:pt>
                <c:pt idx="300">
                  <c:v>0.14099999999999999</c:v>
                </c:pt>
                <c:pt idx="301">
                  <c:v>7.3999999999999996E-2</c:v>
                </c:pt>
                <c:pt idx="302">
                  <c:v>0.13800000000000001</c:v>
                </c:pt>
                <c:pt idx="303">
                  <c:v>0.19800000000000001</c:v>
                </c:pt>
                <c:pt idx="304">
                  <c:v>0.183</c:v>
                </c:pt>
                <c:pt idx="305">
                  <c:v>4.7E-2</c:v>
                </c:pt>
                <c:pt idx="306">
                  <c:v>0.14599999999999999</c:v>
                </c:pt>
                <c:pt idx="307">
                  <c:v>7.4999999999999997E-2</c:v>
                </c:pt>
                <c:pt idx="308">
                  <c:v>0.154</c:v>
                </c:pt>
                <c:pt idx="309">
                  <c:v>0.16700000000000001</c:v>
                </c:pt>
                <c:pt idx="310">
                  <c:v>0.2</c:v>
                </c:pt>
                <c:pt idx="311">
                  <c:v>0.14199999999999999</c:v>
                </c:pt>
                <c:pt idx="312">
                  <c:v>2.1000000000000001E-2</c:v>
                </c:pt>
                <c:pt idx="313">
                  <c:v>0.183</c:v>
                </c:pt>
                <c:pt idx="314">
                  <c:v>9.0999999999999998E-2</c:v>
                </c:pt>
                <c:pt idx="315">
                  <c:v>0.108</c:v>
                </c:pt>
                <c:pt idx="316">
                  <c:v>0.17399999999999999</c:v>
                </c:pt>
                <c:pt idx="317">
                  <c:v>0</c:v>
                </c:pt>
                <c:pt idx="318">
                  <c:v>0.215</c:v>
                </c:pt>
                <c:pt idx="319">
                  <c:v>0.16500000000000001</c:v>
                </c:pt>
              </c:numCache>
            </c:numRef>
          </c:xVal>
          <c:yVal>
            <c:numRef>
              <c:f>store_performance!$P$2:$P$321</c:f>
              <c:numCache>
                <c:formatCode>General</c:formatCode>
                <c:ptCount val="320"/>
                <c:pt idx="0">
                  <c:v>658832.62</c:v>
                </c:pt>
                <c:pt idx="1">
                  <c:v>634436</c:v>
                </c:pt>
                <c:pt idx="2">
                  <c:v>678722.06</c:v>
                </c:pt>
                <c:pt idx="3">
                  <c:v>658920.30000000005</c:v>
                </c:pt>
                <c:pt idx="4">
                  <c:v>741341.44</c:v>
                </c:pt>
                <c:pt idx="5">
                  <c:v>761835.34</c:v>
                </c:pt>
                <c:pt idx="6">
                  <c:v>806615.54</c:v>
                </c:pt>
                <c:pt idx="7">
                  <c:v>850164.26</c:v>
                </c:pt>
                <c:pt idx="8">
                  <c:v>930581.7</c:v>
                </c:pt>
                <c:pt idx="9">
                  <c:v>779010.94</c:v>
                </c:pt>
                <c:pt idx="10">
                  <c:v>723060.76</c:v>
                </c:pt>
                <c:pt idx="11">
                  <c:v>910791.94</c:v>
                </c:pt>
                <c:pt idx="12">
                  <c:v>922168.6</c:v>
                </c:pt>
                <c:pt idx="13">
                  <c:v>726606.28</c:v>
                </c:pt>
                <c:pt idx="14">
                  <c:v>746501.09</c:v>
                </c:pt>
                <c:pt idx="15">
                  <c:v>834017.02</c:v>
                </c:pt>
                <c:pt idx="16">
                  <c:v>666152.52</c:v>
                </c:pt>
                <c:pt idx="17">
                  <c:v>573155.18999999994</c:v>
                </c:pt>
                <c:pt idx="18">
                  <c:v>666573.19999999995</c:v>
                </c:pt>
                <c:pt idx="19">
                  <c:v>591619.94999999995</c:v>
                </c:pt>
                <c:pt idx="20">
                  <c:v>415721.82</c:v>
                </c:pt>
                <c:pt idx="21">
                  <c:v>491905.13</c:v>
                </c:pt>
                <c:pt idx="22">
                  <c:v>555929.4</c:v>
                </c:pt>
                <c:pt idx="23">
                  <c:v>565810.99</c:v>
                </c:pt>
                <c:pt idx="24">
                  <c:v>811771.14</c:v>
                </c:pt>
                <c:pt idx="25">
                  <c:v>800451.94</c:v>
                </c:pt>
                <c:pt idx="26">
                  <c:v>783672.82</c:v>
                </c:pt>
                <c:pt idx="27">
                  <c:v>701641.97</c:v>
                </c:pt>
                <c:pt idx="28">
                  <c:v>511844.41</c:v>
                </c:pt>
                <c:pt idx="29">
                  <c:v>537383.79</c:v>
                </c:pt>
                <c:pt idx="30">
                  <c:v>500173.02</c:v>
                </c:pt>
                <c:pt idx="31">
                  <c:v>427917.38</c:v>
                </c:pt>
                <c:pt idx="32">
                  <c:v>641865.03</c:v>
                </c:pt>
                <c:pt idx="33">
                  <c:v>799477.76000000001</c:v>
                </c:pt>
                <c:pt idx="34">
                  <c:v>798952.17</c:v>
                </c:pt>
                <c:pt idx="35">
                  <c:v>800979.78</c:v>
                </c:pt>
                <c:pt idx="36">
                  <c:v>820593.93</c:v>
                </c:pt>
                <c:pt idx="37">
                  <c:v>718330.53</c:v>
                </c:pt>
                <c:pt idx="38">
                  <c:v>736633.4</c:v>
                </c:pt>
                <c:pt idx="39">
                  <c:v>828623.85</c:v>
                </c:pt>
                <c:pt idx="40">
                  <c:v>592195.85</c:v>
                </c:pt>
                <c:pt idx="41">
                  <c:v>532644.46</c:v>
                </c:pt>
                <c:pt idx="42">
                  <c:v>657429.18000000005</c:v>
                </c:pt>
                <c:pt idx="43">
                  <c:v>605178</c:v>
                </c:pt>
                <c:pt idx="44">
                  <c:v>595467.6</c:v>
                </c:pt>
                <c:pt idx="45">
                  <c:v>599603.4</c:v>
                </c:pt>
                <c:pt idx="46">
                  <c:v>614800.09</c:v>
                </c:pt>
                <c:pt idx="47">
                  <c:v>585365.73</c:v>
                </c:pt>
                <c:pt idx="48">
                  <c:v>622811.74</c:v>
                </c:pt>
                <c:pt idx="49">
                  <c:v>603297.56999999995</c:v>
                </c:pt>
                <c:pt idx="50">
                  <c:v>625672.86</c:v>
                </c:pt>
                <c:pt idx="51">
                  <c:v>773815.14</c:v>
                </c:pt>
                <c:pt idx="52">
                  <c:v>463534.25</c:v>
                </c:pt>
                <c:pt idx="53">
                  <c:v>746677.75</c:v>
                </c:pt>
                <c:pt idx="54">
                  <c:v>720852.5</c:v>
                </c:pt>
                <c:pt idx="55">
                  <c:v>487464.91</c:v>
                </c:pt>
                <c:pt idx="56">
                  <c:v>518049.26</c:v>
                </c:pt>
                <c:pt idx="57">
                  <c:v>500298.48</c:v>
                </c:pt>
                <c:pt idx="58">
                  <c:v>617291.15</c:v>
                </c:pt>
                <c:pt idx="59">
                  <c:v>553756.43000000005</c:v>
                </c:pt>
                <c:pt idx="60">
                  <c:v>749559.71</c:v>
                </c:pt>
                <c:pt idx="61">
                  <c:v>615966.48</c:v>
                </c:pt>
                <c:pt idx="62">
                  <c:v>572011.19999999995</c:v>
                </c:pt>
                <c:pt idx="63">
                  <c:v>761860.19</c:v>
                </c:pt>
                <c:pt idx="64">
                  <c:v>784502.68</c:v>
                </c:pt>
                <c:pt idx="65">
                  <c:v>717141.55</c:v>
                </c:pt>
                <c:pt idx="66">
                  <c:v>685379.08</c:v>
                </c:pt>
                <c:pt idx="67">
                  <c:v>740496.65</c:v>
                </c:pt>
                <c:pt idx="68">
                  <c:v>661927.14</c:v>
                </c:pt>
                <c:pt idx="69">
                  <c:v>479050.5</c:v>
                </c:pt>
                <c:pt idx="70">
                  <c:v>605023.87</c:v>
                </c:pt>
                <c:pt idx="71">
                  <c:v>674774.09</c:v>
                </c:pt>
                <c:pt idx="72">
                  <c:v>616069.41</c:v>
                </c:pt>
                <c:pt idx="73">
                  <c:v>630829.93999999994</c:v>
                </c:pt>
                <c:pt idx="74">
                  <c:v>788087.68</c:v>
                </c:pt>
                <c:pt idx="75">
                  <c:v>680840.36</c:v>
                </c:pt>
                <c:pt idx="76">
                  <c:v>643657.47</c:v>
                </c:pt>
                <c:pt idx="77">
                  <c:v>691112.6</c:v>
                </c:pt>
                <c:pt idx="78">
                  <c:v>776922.17</c:v>
                </c:pt>
                <c:pt idx="79">
                  <c:v>636561.34</c:v>
                </c:pt>
                <c:pt idx="80">
                  <c:v>621369.57999999996</c:v>
                </c:pt>
                <c:pt idx="81">
                  <c:v>682208.01</c:v>
                </c:pt>
                <c:pt idx="82">
                  <c:v>727241.86</c:v>
                </c:pt>
                <c:pt idx="83">
                  <c:v>569100.78</c:v>
                </c:pt>
                <c:pt idx="84">
                  <c:v>574436.29</c:v>
                </c:pt>
                <c:pt idx="85">
                  <c:v>611766.72</c:v>
                </c:pt>
                <c:pt idx="86">
                  <c:v>614596.31999999995</c:v>
                </c:pt>
                <c:pt idx="87">
                  <c:v>450711.92</c:v>
                </c:pt>
                <c:pt idx="88">
                  <c:v>711213.46</c:v>
                </c:pt>
                <c:pt idx="89">
                  <c:v>627171.9</c:v>
                </c:pt>
                <c:pt idx="90">
                  <c:v>739852.58</c:v>
                </c:pt>
                <c:pt idx="91">
                  <c:v>586307.22</c:v>
                </c:pt>
                <c:pt idx="92">
                  <c:v>585937.48</c:v>
                </c:pt>
                <c:pt idx="93">
                  <c:v>753473.55</c:v>
                </c:pt>
                <c:pt idx="94">
                  <c:v>838250.32</c:v>
                </c:pt>
                <c:pt idx="95">
                  <c:v>607898.12</c:v>
                </c:pt>
                <c:pt idx="96">
                  <c:v>691113.62</c:v>
                </c:pt>
                <c:pt idx="97">
                  <c:v>735509.4</c:v>
                </c:pt>
                <c:pt idx="98">
                  <c:v>605775.32999999996</c:v>
                </c:pt>
                <c:pt idx="99">
                  <c:v>675177.68</c:v>
                </c:pt>
                <c:pt idx="100">
                  <c:v>635181.35</c:v>
                </c:pt>
                <c:pt idx="101">
                  <c:v>586626.93999999994</c:v>
                </c:pt>
                <c:pt idx="102">
                  <c:v>740102.64</c:v>
                </c:pt>
                <c:pt idx="103">
                  <c:v>625514.04</c:v>
                </c:pt>
                <c:pt idx="104">
                  <c:v>727227.2</c:v>
                </c:pt>
                <c:pt idx="105">
                  <c:v>783797.89</c:v>
                </c:pt>
                <c:pt idx="106">
                  <c:v>795153.84</c:v>
                </c:pt>
                <c:pt idx="107">
                  <c:v>665594.93999999994</c:v>
                </c:pt>
                <c:pt idx="108">
                  <c:v>709478.39</c:v>
                </c:pt>
                <c:pt idx="109">
                  <c:v>664162.49</c:v>
                </c:pt>
                <c:pt idx="110">
                  <c:v>633494.21</c:v>
                </c:pt>
                <c:pt idx="111">
                  <c:v>713611.16</c:v>
                </c:pt>
                <c:pt idx="112">
                  <c:v>778397.97</c:v>
                </c:pt>
                <c:pt idx="113">
                  <c:v>873380.02</c:v>
                </c:pt>
                <c:pt idx="114">
                  <c:v>697287.9</c:v>
                </c:pt>
                <c:pt idx="115">
                  <c:v>718074.79</c:v>
                </c:pt>
                <c:pt idx="116">
                  <c:v>714942.43</c:v>
                </c:pt>
                <c:pt idx="117">
                  <c:v>820519.04</c:v>
                </c:pt>
                <c:pt idx="118">
                  <c:v>684217.32</c:v>
                </c:pt>
                <c:pt idx="119">
                  <c:v>735480.19</c:v>
                </c:pt>
                <c:pt idx="120">
                  <c:v>509484.81</c:v>
                </c:pt>
                <c:pt idx="121">
                  <c:v>654317.09</c:v>
                </c:pt>
                <c:pt idx="122">
                  <c:v>557487.26</c:v>
                </c:pt>
                <c:pt idx="123">
                  <c:v>441275.42</c:v>
                </c:pt>
                <c:pt idx="124">
                  <c:v>914544.17</c:v>
                </c:pt>
                <c:pt idx="125">
                  <c:v>842439.67</c:v>
                </c:pt>
                <c:pt idx="126">
                  <c:v>842157.92</c:v>
                </c:pt>
                <c:pt idx="127">
                  <c:v>697155.3</c:v>
                </c:pt>
                <c:pt idx="128">
                  <c:v>849018.3</c:v>
                </c:pt>
                <c:pt idx="129">
                  <c:v>801830.35</c:v>
                </c:pt>
                <c:pt idx="130">
                  <c:v>725235.28</c:v>
                </c:pt>
                <c:pt idx="131">
                  <c:v>811452.72</c:v>
                </c:pt>
                <c:pt idx="132">
                  <c:v>527300.13</c:v>
                </c:pt>
                <c:pt idx="133">
                  <c:v>400831.65</c:v>
                </c:pt>
                <c:pt idx="134">
                  <c:v>593247.25</c:v>
                </c:pt>
                <c:pt idx="135">
                  <c:v>529075.94999999995</c:v>
                </c:pt>
                <c:pt idx="136">
                  <c:v>633638.03</c:v>
                </c:pt>
                <c:pt idx="137">
                  <c:v>743348.84</c:v>
                </c:pt>
                <c:pt idx="138">
                  <c:v>758827.64</c:v>
                </c:pt>
                <c:pt idx="139">
                  <c:v>646559.71</c:v>
                </c:pt>
                <c:pt idx="140">
                  <c:v>715890.53</c:v>
                </c:pt>
                <c:pt idx="141">
                  <c:v>715097.57</c:v>
                </c:pt>
                <c:pt idx="142">
                  <c:v>682639.28</c:v>
                </c:pt>
                <c:pt idx="143">
                  <c:v>695098.51</c:v>
                </c:pt>
                <c:pt idx="144">
                  <c:v>577732.56999999995</c:v>
                </c:pt>
                <c:pt idx="145">
                  <c:v>537058.32999999996</c:v>
                </c:pt>
                <c:pt idx="146">
                  <c:v>601568.87</c:v>
                </c:pt>
                <c:pt idx="147">
                  <c:v>570964.84</c:v>
                </c:pt>
                <c:pt idx="148">
                  <c:v>614024.91</c:v>
                </c:pt>
                <c:pt idx="149">
                  <c:v>712868.35</c:v>
                </c:pt>
                <c:pt idx="150">
                  <c:v>696744.15</c:v>
                </c:pt>
                <c:pt idx="151">
                  <c:v>725847.99</c:v>
                </c:pt>
                <c:pt idx="152">
                  <c:v>785028.25</c:v>
                </c:pt>
                <c:pt idx="153">
                  <c:v>698492.67</c:v>
                </c:pt>
                <c:pt idx="154">
                  <c:v>685830.24</c:v>
                </c:pt>
                <c:pt idx="155">
                  <c:v>702318.94</c:v>
                </c:pt>
                <c:pt idx="156">
                  <c:v>700078.32</c:v>
                </c:pt>
                <c:pt idx="157">
                  <c:v>602002.31999999995</c:v>
                </c:pt>
                <c:pt idx="158">
                  <c:v>724216.07</c:v>
                </c:pt>
                <c:pt idx="159">
                  <c:v>620973.03</c:v>
                </c:pt>
                <c:pt idx="160">
                  <c:v>650480.06000000006</c:v>
                </c:pt>
                <c:pt idx="161">
                  <c:v>778298.88</c:v>
                </c:pt>
                <c:pt idx="162">
                  <c:v>677096.71</c:v>
                </c:pt>
                <c:pt idx="163">
                  <c:v>692008.64</c:v>
                </c:pt>
                <c:pt idx="164">
                  <c:v>825797.91</c:v>
                </c:pt>
                <c:pt idx="165">
                  <c:v>706285.52</c:v>
                </c:pt>
                <c:pt idx="166">
                  <c:v>665534.69999999995</c:v>
                </c:pt>
                <c:pt idx="167">
                  <c:v>820729.29</c:v>
                </c:pt>
                <c:pt idx="168">
                  <c:v>739831.73</c:v>
                </c:pt>
                <c:pt idx="169">
                  <c:v>593637.14</c:v>
                </c:pt>
                <c:pt idx="170">
                  <c:v>769702.76</c:v>
                </c:pt>
                <c:pt idx="171">
                  <c:v>679731.57</c:v>
                </c:pt>
                <c:pt idx="172">
                  <c:v>780344.18</c:v>
                </c:pt>
                <c:pt idx="173">
                  <c:v>721364.11</c:v>
                </c:pt>
                <c:pt idx="174">
                  <c:v>758138.29</c:v>
                </c:pt>
                <c:pt idx="175">
                  <c:v>804264</c:v>
                </c:pt>
                <c:pt idx="176">
                  <c:v>887537.75</c:v>
                </c:pt>
                <c:pt idx="177">
                  <c:v>783582</c:v>
                </c:pt>
                <c:pt idx="178">
                  <c:v>781955.52</c:v>
                </c:pt>
                <c:pt idx="179">
                  <c:v>898031.04</c:v>
                </c:pt>
                <c:pt idx="180">
                  <c:v>855341.28</c:v>
                </c:pt>
                <c:pt idx="181">
                  <c:v>751393.88</c:v>
                </c:pt>
                <c:pt idx="182">
                  <c:v>761077.08</c:v>
                </c:pt>
                <c:pt idx="183">
                  <c:v>819660.59</c:v>
                </c:pt>
                <c:pt idx="184">
                  <c:v>681855.56</c:v>
                </c:pt>
                <c:pt idx="185">
                  <c:v>678311.17</c:v>
                </c:pt>
                <c:pt idx="186">
                  <c:v>765906.95</c:v>
                </c:pt>
                <c:pt idx="187">
                  <c:v>712546.38</c:v>
                </c:pt>
                <c:pt idx="188">
                  <c:v>625993.82999999996</c:v>
                </c:pt>
                <c:pt idx="189">
                  <c:v>550962.93000000005</c:v>
                </c:pt>
                <c:pt idx="190">
                  <c:v>443275.59</c:v>
                </c:pt>
                <c:pt idx="191">
                  <c:v>554012.06999999995</c:v>
                </c:pt>
                <c:pt idx="192">
                  <c:v>643428.85</c:v>
                </c:pt>
                <c:pt idx="193">
                  <c:v>611924.27</c:v>
                </c:pt>
                <c:pt idx="194">
                  <c:v>559422.02</c:v>
                </c:pt>
                <c:pt idx="195">
                  <c:v>449465.06</c:v>
                </c:pt>
                <c:pt idx="196">
                  <c:v>691447.43</c:v>
                </c:pt>
                <c:pt idx="197">
                  <c:v>574066.61</c:v>
                </c:pt>
                <c:pt idx="198">
                  <c:v>578949.84</c:v>
                </c:pt>
                <c:pt idx="199">
                  <c:v>735786.64</c:v>
                </c:pt>
                <c:pt idx="200">
                  <c:v>598904.9</c:v>
                </c:pt>
                <c:pt idx="201">
                  <c:v>787715.51</c:v>
                </c:pt>
                <c:pt idx="202">
                  <c:v>607084.92000000004</c:v>
                </c:pt>
                <c:pt idx="203">
                  <c:v>650795.49</c:v>
                </c:pt>
                <c:pt idx="204">
                  <c:v>825060.52</c:v>
                </c:pt>
                <c:pt idx="205">
                  <c:v>795464.47</c:v>
                </c:pt>
                <c:pt idx="206">
                  <c:v>671868.59</c:v>
                </c:pt>
                <c:pt idx="207">
                  <c:v>675917.63</c:v>
                </c:pt>
                <c:pt idx="208">
                  <c:v>810446.53</c:v>
                </c:pt>
                <c:pt idx="209">
                  <c:v>691288.19</c:v>
                </c:pt>
                <c:pt idx="210">
                  <c:v>946833.54</c:v>
                </c:pt>
                <c:pt idx="211">
                  <c:v>761963.23</c:v>
                </c:pt>
                <c:pt idx="212">
                  <c:v>812152.6</c:v>
                </c:pt>
                <c:pt idx="213">
                  <c:v>804975.5</c:v>
                </c:pt>
                <c:pt idx="214">
                  <c:v>752321.72</c:v>
                </c:pt>
                <c:pt idx="215">
                  <c:v>836908.24</c:v>
                </c:pt>
                <c:pt idx="216">
                  <c:v>674289.1</c:v>
                </c:pt>
                <c:pt idx="217">
                  <c:v>622892.42000000004</c:v>
                </c:pt>
                <c:pt idx="218">
                  <c:v>673348.56</c:v>
                </c:pt>
                <c:pt idx="219">
                  <c:v>606278.30000000005</c:v>
                </c:pt>
                <c:pt idx="220">
                  <c:v>712219.81</c:v>
                </c:pt>
                <c:pt idx="221">
                  <c:v>672670.54</c:v>
                </c:pt>
                <c:pt idx="222">
                  <c:v>732667.92</c:v>
                </c:pt>
                <c:pt idx="223">
                  <c:v>723531.4</c:v>
                </c:pt>
                <c:pt idx="224">
                  <c:v>641564.6</c:v>
                </c:pt>
                <c:pt idx="225">
                  <c:v>536545.49</c:v>
                </c:pt>
                <c:pt idx="226">
                  <c:v>527681.56000000006</c:v>
                </c:pt>
                <c:pt idx="227">
                  <c:v>529598.93999999994</c:v>
                </c:pt>
                <c:pt idx="228">
                  <c:v>570963.31000000006</c:v>
                </c:pt>
                <c:pt idx="229">
                  <c:v>870937.4</c:v>
                </c:pt>
                <c:pt idx="230">
                  <c:v>596969.27</c:v>
                </c:pt>
                <c:pt idx="231">
                  <c:v>647512.85</c:v>
                </c:pt>
                <c:pt idx="232">
                  <c:v>658072.14</c:v>
                </c:pt>
                <c:pt idx="233">
                  <c:v>723305.11</c:v>
                </c:pt>
                <c:pt idx="234">
                  <c:v>640666.53</c:v>
                </c:pt>
                <c:pt idx="235">
                  <c:v>670629.48</c:v>
                </c:pt>
                <c:pt idx="236">
                  <c:v>721079.35</c:v>
                </c:pt>
                <c:pt idx="237">
                  <c:v>810355.02</c:v>
                </c:pt>
                <c:pt idx="238">
                  <c:v>761919.25</c:v>
                </c:pt>
                <c:pt idx="239">
                  <c:v>737070.18</c:v>
                </c:pt>
                <c:pt idx="240">
                  <c:v>776992.93</c:v>
                </c:pt>
                <c:pt idx="241">
                  <c:v>676337.41</c:v>
                </c:pt>
                <c:pt idx="242">
                  <c:v>828219.67</c:v>
                </c:pt>
                <c:pt idx="243">
                  <c:v>763159.92</c:v>
                </c:pt>
                <c:pt idx="244">
                  <c:v>802001.68</c:v>
                </c:pt>
                <c:pt idx="245">
                  <c:v>750471.34</c:v>
                </c:pt>
                <c:pt idx="246">
                  <c:v>679230.86</c:v>
                </c:pt>
                <c:pt idx="247">
                  <c:v>679888.74</c:v>
                </c:pt>
                <c:pt idx="248">
                  <c:v>606783.67000000004</c:v>
                </c:pt>
                <c:pt idx="249">
                  <c:v>642751.42000000004</c:v>
                </c:pt>
                <c:pt idx="250">
                  <c:v>647953.78</c:v>
                </c:pt>
                <c:pt idx="251">
                  <c:v>729440.45</c:v>
                </c:pt>
                <c:pt idx="252">
                  <c:v>764949</c:v>
                </c:pt>
                <c:pt idx="253">
                  <c:v>799046.94</c:v>
                </c:pt>
                <c:pt idx="254">
                  <c:v>720079.54</c:v>
                </c:pt>
                <c:pt idx="255">
                  <c:v>612390.14</c:v>
                </c:pt>
                <c:pt idx="256">
                  <c:v>840108.12</c:v>
                </c:pt>
                <c:pt idx="257">
                  <c:v>697888.09</c:v>
                </c:pt>
                <c:pt idx="258">
                  <c:v>746115.59</c:v>
                </c:pt>
                <c:pt idx="259">
                  <c:v>776110.32</c:v>
                </c:pt>
                <c:pt idx="260">
                  <c:v>528852.62</c:v>
                </c:pt>
                <c:pt idx="261">
                  <c:v>605751.32999999996</c:v>
                </c:pt>
                <c:pt idx="262">
                  <c:v>677640.65</c:v>
                </c:pt>
                <c:pt idx="263">
                  <c:v>636613.23</c:v>
                </c:pt>
                <c:pt idx="264">
                  <c:v>708985.19</c:v>
                </c:pt>
                <c:pt idx="265">
                  <c:v>767792.94</c:v>
                </c:pt>
                <c:pt idx="266">
                  <c:v>745580.51</c:v>
                </c:pt>
                <c:pt idx="267">
                  <c:v>762328.31</c:v>
                </c:pt>
                <c:pt idx="268">
                  <c:v>660633.99</c:v>
                </c:pt>
                <c:pt idx="269">
                  <c:v>739374.56</c:v>
                </c:pt>
                <c:pt idx="270">
                  <c:v>799756.46</c:v>
                </c:pt>
                <c:pt idx="271">
                  <c:v>593343</c:v>
                </c:pt>
                <c:pt idx="272">
                  <c:v>645039.97</c:v>
                </c:pt>
                <c:pt idx="273">
                  <c:v>561597.32999999996</c:v>
                </c:pt>
                <c:pt idx="274">
                  <c:v>635837.74</c:v>
                </c:pt>
                <c:pt idx="275">
                  <c:v>686737.87</c:v>
                </c:pt>
                <c:pt idx="276">
                  <c:v>673076.34</c:v>
                </c:pt>
                <c:pt idx="277">
                  <c:v>738548.42</c:v>
                </c:pt>
                <c:pt idx="278">
                  <c:v>756619.77</c:v>
                </c:pt>
                <c:pt idx="279">
                  <c:v>761122.42</c:v>
                </c:pt>
                <c:pt idx="280">
                  <c:v>524899.56999999995</c:v>
                </c:pt>
                <c:pt idx="281">
                  <c:v>555557.77</c:v>
                </c:pt>
                <c:pt idx="282">
                  <c:v>714083.68</c:v>
                </c:pt>
                <c:pt idx="283">
                  <c:v>497439.82</c:v>
                </c:pt>
                <c:pt idx="284">
                  <c:v>636775.66</c:v>
                </c:pt>
                <c:pt idx="285">
                  <c:v>633009.53</c:v>
                </c:pt>
                <c:pt idx="286">
                  <c:v>609949</c:v>
                </c:pt>
                <c:pt idx="287">
                  <c:v>548103.69999999995</c:v>
                </c:pt>
                <c:pt idx="288">
                  <c:v>729424.42</c:v>
                </c:pt>
                <c:pt idx="289">
                  <c:v>696261.49</c:v>
                </c:pt>
                <c:pt idx="290">
                  <c:v>813316.71</c:v>
                </c:pt>
                <c:pt idx="291">
                  <c:v>702068.92</c:v>
                </c:pt>
                <c:pt idx="292">
                  <c:v>546223.69999999995</c:v>
                </c:pt>
                <c:pt idx="293">
                  <c:v>533121.26</c:v>
                </c:pt>
                <c:pt idx="294">
                  <c:v>498970.32</c:v>
                </c:pt>
                <c:pt idx="295">
                  <c:v>487738.26</c:v>
                </c:pt>
                <c:pt idx="296">
                  <c:v>668459.37</c:v>
                </c:pt>
                <c:pt idx="297">
                  <c:v>763162.45</c:v>
                </c:pt>
                <c:pt idx="298">
                  <c:v>599017.32999999996</c:v>
                </c:pt>
                <c:pt idx="299">
                  <c:v>401582.58</c:v>
                </c:pt>
                <c:pt idx="300">
                  <c:v>703812.99</c:v>
                </c:pt>
                <c:pt idx="301">
                  <c:v>724346.73</c:v>
                </c:pt>
                <c:pt idx="302">
                  <c:v>730890.01</c:v>
                </c:pt>
                <c:pt idx="303">
                  <c:v>780580.95</c:v>
                </c:pt>
                <c:pt idx="304">
                  <c:v>727957.48</c:v>
                </c:pt>
                <c:pt idx="305">
                  <c:v>538376</c:v>
                </c:pt>
                <c:pt idx="306">
                  <c:v>665342.49</c:v>
                </c:pt>
                <c:pt idx="307">
                  <c:v>651164.18000000005</c:v>
                </c:pt>
                <c:pt idx="308">
                  <c:v>628538.30000000005</c:v>
                </c:pt>
                <c:pt idx="309">
                  <c:v>536524.84</c:v>
                </c:pt>
                <c:pt idx="310">
                  <c:v>621677.30000000005</c:v>
                </c:pt>
                <c:pt idx="311">
                  <c:v>771129.07</c:v>
                </c:pt>
                <c:pt idx="312">
                  <c:v>702052.47</c:v>
                </c:pt>
                <c:pt idx="313">
                  <c:v>688368.46</c:v>
                </c:pt>
                <c:pt idx="314">
                  <c:v>712375.77</c:v>
                </c:pt>
                <c:pt idx="315">
                  <c:v>844710.67</c:v>
                </c:pt>
                <c:pt idx="316">
                  <c:v>620264.19999999995</c:v>
                </c:pt>
                <c:pt idx="317">
                  <c:v>536845.42000000004</c:v>
                </c:pt>
                <c:pt idx="318">
                  <c:v>726776.22</c:v>
                </c:pt>
                <c:pt idx="319">
                  <c:v>559660.84</c:v>
                </c:pt>
              </c:numCache>
            </c:numRef>
          </c:yVal>
          <c:smooth val="0"/>
          <c:extLst>
            <c:ext xmlns:c16="http://schemas.microsoft.com/office/drawing/2014/chart" uri="{C3380CC4-5D6E-409C-BE32-E72D297353CC}">
              <c16:uniqueId val="{00000000-455B-4A20-8AEA-E509F4F3C544}"/>
            </c:ext>
          </c:extLst>
        </c:ser>
        <c:ser>
          <c:idx val="1"/>
          <c:order val="1"/>
          <c:tx>
            <c:v>Predicted monthly_sales</c:v>
          </c:tx>
          <c:spPr>
            <a:ln w="38100">
              <a:noFill/>
            </a:ln>
          </c:spPr>
          <c:xVal>
            <c:numRef>
              <c:f>store_performance!$J$2:$J$321</c:f>
              <c:numCache>
                <c:formatCode>General</c:formatCode>
                <c:ptCount val="320"/>
                <c:pt idx="0">
                  <c:v>4.2000000000000003E-2</c:v>
                </c:pt>
                <c:pt idx="1">
                  <c:v>0.16800000000000001</c:v>
                </c:pt>
                <c:pt idx="2">
                  <c:v>0.13300000000000001</c:v>
                </c:pt>
                <c:pt idx="3">
                  <c:v>0.14199999999999999</c:v>
                </c:pt>
                <c:pt idx="4">
                  <c:v>0.23100000000000001</c:v>
                </c:pt>
                <c:pt idx="5">
                  <c:v>0.112</c:v>
                </c:pt>
                <c:pt idx="6">
                  <c:v>0.122</c:v>
                </c:pt>
                <c:pt idx="7">
                  <c:v>0.127</c:v>
                </c:pt>
                <c:pt idx="8">
                  <c:v>0.215</c:v>
                </c:pt>
                <c:pt idx="9">
                  <c:v>0.22</c:v>
                </c:pt>
                <c:pt idx="10">
                  <c:v>0.21299999999999999</c:v>
                </c:pt>
                <c:pt idx="11">
                  <c:v>2E-3</c:v>
                </c:pt>
                <c:pt idx="12">
                  <c:v>0.11600000000000001</c:v>
                </c:pt>
                <c:pt idx="13">
                  <c:v>0.14599999999999999</c:v>
                </c:pt>
                <c:pt idx="14">
                  <c:v>0.22800000000000001</c:v>
                </c:pt>
                <c:pt idx="15">
                  <c:v>6.0000000000000001E-3</c:v>
                </c:pt>
                <c:pt idx="16">
                  <c:v>5.0000000000000001E-3</c:v>
                </c:pt>
                <c:pt idx="17">
                  <c:v>0.11899999999999999</c:v>
                </c:pt>
                <c:pt idx="18">
                  <c:v>0</c:v>
                </c:pt>
                <c:pt idx="19">
                  <c:v>0.158</c:v>
                </c:pt>
                <c:pt idx="20">
                  <c:v>0.23100000000000001</c:v>
                </c:pt>
                <c:pt idx="21">
                  <c:v>0.17599999999999999</c:v>
                </c:pt>
                <c:pt idx="22">
                  <c:v>0.16</c:v>
                </c:pt>
                <c:pt idx="23">
                  <c:v>0.216</c:v>
                </c:pt>
                <c:pt idx="24">
                  <c:v>0.121</c:v>
                </c:pt>
                <c:pt idx="25">
                  <c:v>0.14000000000000001</c:v>
                </c:pt>
                <c:pt idx="26">
                  <c:v>0.16900000000000001</c:v>
                </c:pt>
                <c:pt idx="27">
                  <c:v>0.122</c:v>
                </c:pt>
                <c:pt idx="28">
                  <c:v>0.124</c:v>
                </c:pt>
                <c:pt idx="29">
                  <c:v>0.216</c:v>
                </c:pt>
                <c:pt idx="30">
                  <c:v>0.13600000000000001</c:v>
                </c:pt>
                <c:pt idx="31">
                  <c:v>0.16800000000000001</c:v>
                </c:pt>
                <c:pt idx="32">
                  <c:v>0.188</c:v>
                </c:pt>
                <c:pt idx="33">
                  <c:v>7.0000000000000007E-2</c:v>
                </c:pt>
                <c:pt idx="34">
                  <c:v>3.9E-2</c:v>
                </c:pt>
                <c:pt idx="35">
                  <c:v>0.247</c:v>
                </c:pt>
                <c:pt idx="36">
                  <c:v>9.1999999999999998E-2</c:v>
                </c:pt>
                <c:pt idx="37">
                  <c:v>0.156</c:v>
                </c:pt>
                <c:pt idx="38">
                  <c:v>0.19800000000000001</c:v>
                </c:pt>
                <c:pt idx="39">
                  <c:v>8.5000000000000006E-2</c:v>
                </c:pt>
                <c:pt idx="40">
                  <c:v>0.218</c:v>
                </c:pt>
                <c:pt idx="41">
                  <c:v>0.14299999999999999</c:v>
                </c:pt>
                <c:pt idx="42">
                  <c:v>0.128</c:v>
                </c:pt>
                <c:pt idx="43">
                  <c:v>1.9E-2</c:v>
                </c:pt>
                <c:pt idx="44">
                  <c:v>0.06</c:v>
                </c:pt>
                <c:pt idx="45">
                  <c:v>0.23499999999999999</c:v>
                </c:pt>
                <c:pt idx="46">
                  <c:v>0.113</c:v>
                </c:pt>
                <c:pt idx="47">
                  <c:v>0.155</c:v>
                </c:pt>
                <c:pt idx="48">
                  <c:v>0.109</c:v>
                </c:pt>
                <c:pt idx="49">
                  <c:v>0.218</c:v>
                </c:pt>
                <c:pt idx="50">
                  <c:v>8.0000000000000002E-3</c:v>
                </c:pt>
                <c:pt idx="51">
                  <c:v>0.05</c:v>
                </c:pt>
                <c:pt idx="52">
                  <c:v>8.6999999999999994E-2</c:v>
                </c:pt>
                <c:pt idx="53">
                  <c:v>0.26200000000000001</c:v>
                </c:pt>
                <c:pt idx="54">
                  <c:v>0.106</c:v>
                </c:pt>
                <c:pt idx="55">
                  <c:v>0.08</c:v>
                </c:pt>
                <c:pt idx="56">
                  <c:v>0</c:v>
                </c:pt>
                <c:pt idx="57">
                  <c:v>3.9E-2</c:v>
                </c:pt>
                <c:pt idx="58">
                  <c:v>0.13700000000000001</c:v>
                </c:pt>
                <c:pt idx="59">
                  <c:v>9.1999999999999998E-2</c:v>
                </c:pt>
                <c:pt idx="60">
                  <c:v>6.2E-2</c:v>
                </c:pt>
                <c:pt idx="61">
                  <c:v>7.3999999999999996E-2</c:v>
                </c:pt>
                <c:pt idx="62">
                  <c:v>0.113</c:v>
                </c:pt>
                <c:pt idx="63">
                  <c:v>5.3999999999999999E-2</c:v>
                </c:pt>
                <c:pt idx="64">
                  <c:v>0.107</c:v>
                </c:pt>
                <c:pt idx="65">
                  <c:v>0.156</c:v>
                </c:pt>
                <c:pt idx="66">
                  <c:v>0.10199999999999999</c:v>
                </c:pt>
                <c:pt idx="67">
                  <c:v>0.115</c:v>
                </c:pt>
                <c:pt idx="68">
                  <c:v>0.14099999999999999</c:v>
                </c:pt>
                <c:pt idx="69">
                  <c:v>0.191</c:v>
                </c:pt>
                <c:pt idx="70">
                  <c:v>0.19700000000000001</c:v>
                </c:pt>
                <c:pt idx="71">
                  <c:v>3.5999999999999997E-2</c:v>
                </c:pt>
                <c:pt idx="72">
                  <c:v>0.27700000000000002</c:v>
                </c:pt>
                <c:pt idx="73">
                  <c:v>6.6000000000000003E-2</c:v>
                </c:pt>
                <c:pt idx="74">
                  <c:v>0.17799999999999999</c:v>
                </c:pt>
                <c:pt idx="75">
                  <c:v>0.20300000000000001</c:v>
                </c:pt>
                <c:pt idx="76">
                  <c:v>0.1</c:v>
                </c:pt>
                <c:pt idx="77">
                  <c:v>6.4000000000000001E-2</c:v>
                </c:pt>
                <c:pt idx="78">
                  <c:v>0.17199999999999999</c:v>
                </c:pt>
                <c:pt idx="79">
                  <c:v>0.252</c:v>
                </c:pt>
                <c:pt idx="80">
                  <c:v>0.17899999999999999</c:v>
                </c:pt>
                <c:pt idx="81">
                  <c:v>9.5000000000000001E-2</c:v>
                </c:pt>
                <c:pt idx="82">
                  <c:v>8.4000000000000005E-2</c:v>
                </c:pt>
                <c:pt idx="83">
                  <c:v>0.03</c:v>
                </c:pt>
                <c:pt idx="84">
                  <c:v>0.108</c:v>
                </c:pt>
                <c:pt idx="85">
                  <c:v>0.20599999999999999</c:v>
                </c:pt>
                <c:pt idx="86">
                  <c:v>5.8999999999999997E-2</c:v>
                </c:pt>
                <c:pt idx="87">
                  <c:v>0.14499999999999999</c:v>
                </c:pt>
                <c:pt idx="88">
                  <c:v>2.9000000000000001E-2</c:v>
                </c:pt>
                <c:pt idx="89">
                  <c:v>1.2999999999999999E-2</c:v>
                </c:pt>
                <c:pt idx="90">
                  <c:v>0.04</c:v>
                </c:pt>
                <c:pt idx="91">
                  <c:v>4.2999999999999997E-2</c:v>
                </c:pt>
                <c:pt idx="92">
                  <c:v>0.19400000000000001</c:v>
                </c:pt>
                <c:pt idx="93">
                  <c:v>0</c:v>
                </c:pt>
                <c:pt idx="94">
                  <c:v>7.2999999999999995E-2</c:v>
                </c:pt>
                <c:pt idx="95">
                  <c:v>7.3999999999999996E-2</c:v>
                </c:pt>
                <c:pt idx="96">
                  <c:v>0.16300000000000001</c:v>
                </c:pt>
                <c:pt idx="97">
                  <c:v>0.17100000000000001</c:v>
                </c:pt>
                <c:pt idx="98">
                  <c:v>7.4999999999999997E-2</c:v>
                </c:pt>
                <c:pt idx="99">
                  <c:v>0.189</c:v>
                </c:pt>
                <c:pt idx="100">
                  <c:v>0.15</c:v>
                </c:pt>
                <c:pt idx="101">
                  <c:v>0.17299999999999999</c:v>
                </c:pt>
                <c:pt idx="102">
                  <c:v>0.185</c:v>
                </c:pt>
                <c:pt idx="103">
                  <c:v>0.08</c:v>
                </c:pt>
                <c:pt idx="104">
                  <c:v>0.10299999999999999</c:v>
                </c:pt>
                <c:pt idx="105">
                  <c:v>5.6000000000000001E-2</c:v>
                </c:pt>
                <c:pt idx="106">
                  <c:v>0.13300000000000001</c:v>
                </c:pt>
                <c:pt idx="107">
                  <c:v>5.0999999999999997E-2</c:v>
                </c:pt>
                <c:pt idx="108">
                  <c:v>0.157</c:v>
                </c:pt>
                <c:pt idx="109">
                  <c:v>0.29199999999999998</c:v>
                </c:pt>
                <c:pt idx="110">
                  <c:v>8.8999999999999996E-2</c:v>
                </c:pt>
                <c:pt idx="111">
                  <c:v>5.7000000000000002E-2</c:v>
                </c:pt>
                <c:pt idx="112">
                  <c:v>0.17299999999999999</c:v>
                </c:pt>
                <c:pt idx="113">
                  <c:v>0.14199999999999999</c:v>
                </c:pt>
                <c:pt idx="114">
                  <c:v>0.159</c:v>
                </c:pt>
                <c:pt idx="115">
                  <c:v>0.13900000000000001</c:v>
                </c:pt>
                <c:pt idx="116">
                  <c:v>0.19</c:v>
                </c:pt>
                <c:pt idx="117">
                  <c:v>0.151</c:v>
                </c:pt>
                <c:pt idx="118">
                  <c:v>0.13300000000000001</c:v>
                </c:pt>
                <c:pt idx="119">
                  <c:v>0.23200000000000001</c:v>
                </c:pt>
                <c:pt idx="120">
                  <c:v>8.7999999999999995E-2</c:v>
                </c:pt>
                <c:pt idx="121">
                  <c:v>0</c:v>
                </c:pt>
                <c:pt idx="122">
                  <c:v>6.9000000000000006E-2</c:v>
                </c:pt>
                <c:pt idx="123">
                  <c:v>0.216</c:v>
                </c:pt>
                <c:pt idx="124">
                  <c:v>0.123</c:v>
                </c:pt>
                <c:pt idx="125">
                  <c:v>0.17599999999999999</c:v>
                </c:pt>
                <c:pt idx="126">
                  <c:v>0.20399999999999999</c:v>
                </c:pt>
                <c:pt idx="127">
                  <c:v>9.6000000000000002E-2</c:v>
                </c:pt>
                <c:pt idx="128">
                  <c:v>0.14199999999999999</c:v>
                </c:pt>
                <c:pt idx="129">
                  <c:v>0.20699999999999999</c:v>
                </c:pt>
                <c:pt idx="130">
                  <c:v>0.14399999999999999</c:v>
                </c:pt>
                <c:pt idx="131">
                  <c:v>8.8999999999999996E-2</c:v>
                </c:pt>
                <c:pt idx="132">
                  <c:v>7.9000000000000001E-2</c:v>
                </c:pt>
                <c:pt idx="133">
                  <c:v>0.19600000000000001</c:v>
                </c:pt>
                <c:pt idx="134">
                  <c:v>8.5999999999999993E-2</c:v>
                </c:pt>
                <c:pt idx="135">
                  <c:v>0.182</c:v>
                </c:pt>
                <c:pt idx="136">
                  <c:v>4.8000000000000001E-2</c:v>
                </c:pt>
                <c:pt idx="137">
                  <c:v>7.9000000000000001E-2</c:v>
                </c:pt>
                <c:pt idx="138">
                  <c:v>0.152</c:v>
                </c:pt>
                <c:pt idx="139">
                  <c:v>0.187</c:v>
                </c:pt>
                <c:pt idx="140">
                  <c:v>0.23400000000000001</c:v>
                </c:pt>
                <c:pt idx="141">
                  <c:v>3.7999999999999999E-2</c:v>
                </c:pt>
                <c:pt idx="142">
                  <c:v>6.9000000000000006E-2</c:v>
                </c:pt>
                <c:pt idx="143">
                  <c:v>0.182</c:v>
                </c:pt>
                <c:pt idx="144">
                  <c:v>0.16900000000000001</c:v>
                </c:pt>
                <c:pt idx="145">
                  <c:v>0.06</c:v>
                </c:pt>
                <c:pt idx="146">
                  <c:v>0.156</c:v>
                </c:pt>
                <c:pt idx="147">
                  <c:v>0.108</c:v>
                </c:pt>
                <c:pt idx="148">
                  <c:v>4.7E-2</c:v>
                </c:pt>
                <c:pt idx="149">
                  <c:v>4.3999999999999997E-2</c:v>
                </c:pt>
                <c:pt idx="150">
                  <c:v>0.1</c:v>
                </c:pt>
                <c:pt idx="151">
                  <c:v>0.19700000000000001</c:v>
                </c:pt>
                <c:pt idx="152">
                  <c:v>0.23400000000000001</c:v>
                </c:pt>
                <c:pt idx="153">
                  <c:v>0.16900000000000001</c:v>
                </c:pt>
                <c:pt idx="154">
                  <c:v>0.18</c:v>
                </c:pt>
                <c:pt idx="155">
                  <c:v>0.187</c:v>
                </c:pt>
                <c:pt idx="156">
                  <c:v>5.7000000000000002E-2</c:v>
                </c:pt>
                <c:pt idx="157">
                  <c:v>0.114</c:v>
                </c:pt>
                <c:pt idx="158">
                  <c:v>0.158</c:v>
                </c:pt>
                <c:pt idx="159">
                  <c:v>0.159</c:v>
                </c:pt>
                <c:pt idx="160">
                  <c:v>0.17499999999999999</c:v>
                </c:pt>
                <c:pt idx="161">
                  <c:v>3.4000000000000002E-2</c:v>
                </c:pt>
                <c:pt idx="162">
                  <c:v>0.193</c:v>
                </c:pt>
                <c:pt idx="163">
                  <c:v>7.4999999999999997E-2</c:v>
                </c:pt>
                <c:pt idx="164">
                  <c:v>0.157</c:v>
                </c:pt>
                <c:pt idx="165">
                  <c:v>0.123</c:v>
                </c:pt>
                <c:pt idx="166">
                  <c:v>0.09</c:v>
                </c:pt>
                <c:pt idx="167">
                  <c:v>0.126</c:v>
                </c:pt>
                <c:pt idx="168">
                  <c:v>0.13600000000000001</c:v>
                </c:pt>
                <c:pt idx="169">
                  <c:v>9.9000000000000005E-2</c:v>
                </c:pt>
                <c:pt idx="170">
                  <c:v>0.157</c:v>
                </c:pt>
                <c:pt idx="171">
                  <c:v>0.11799999999999999</c:v>
                </c:pt>
                <c:pt idx="172">
                  <c:v>0.157</c:v>
                </c:pt>
                <c:pt idx="173">
                  <c:v>0.109</c:v>
                </c:pt>
                <c:pt idx="174">
                  <c:v>0.125</c:v>
                </c:pt>
                <c:pt idx="175">
                  <c:v>0.159</c:v>
                </c:pt>
                <c:pt idx="176">
                  <c:v>4.5999999999999999E-2</c:v>
                </c:pt>
                <c:pt idx="177">
                  <c:v>0.17699999999999999</c:v>
                </c:pt>
                <c:pt idx="178">
                  <c:v>4.1000000000000002E-2</c:v>
                </c:pt>
                <c:pt idx="179">
                  <c:v>1.2999999999999999E-2</c:v>
                </c:pt>
                <c:pt idx="180">
                  <c:v>1E-3</c:v>
                </c:pt>
                <c:pt idx="181">
                  <c:v>0.14099999999999999</c:v>
                </c:pt>
                <c:pt idx="182">
                  <c:v>0.113</c:v>
                </c:pt>
                <c:pt idx="183">
                  <c:v>7.0000000000000007E-2</c:v>
                </c:pt>
                <c:pt idx="184">
                  <c:v>7.1999999999999995E-2</c:v>
                </c:pt>
                <c:pt idx="185">
                  <c:v>0.161</c:v>
                </c:pt>
                <c:pt idx="186">
                  <c:v>6.7000000000000004E-2</c:v>
                </c:pt>
                <c:pt idx="187">
                  <c:v>9.4E-2</c:v>
                </c:pt>
                <c:pt idx="188">
                  <c:v>0</c:v>
                </c:pt>
                <c:pt idx="189">
                  <c:v>5.8000000000000003E-2</c:v>
                </c:pt>
                <c:pt idx="190">
                  <c:v>0.25900000000000001</c:v>
                </c:pt>
                <c:pt idx="191">
                  <c:v>0.186</c:v>
                </c:pt>
                <c:pt idx="192">
                  <c:v>0.16400000000000001</c:v>
                </c:pt>
                <c:pt idx="193">
                  <c:v>0.15</c:v>
                </c:pt>
                <c:pt idx="194">
                  <c:v>8.8999999999999996E-2</c:v>
                </c:pt>
                <c:pt idx="195">
                  <c:v>0.22900000000000001</c:v>
                </c:pt>
                <c:pt idx="196">
                  <c:v>9.8000000000000004E-2</c:v>
                </c:pt>
                <c:pt idx="197">
                  <c:v>2.7E-2</c:v>
                </c:pt>
                <c:pt idx="198">
                  <c:v>0.28399999999999997</c:v>
                </c:pt>
                <c:pt idx="199">
                  <c:v>0.189</c:v>
                </c:pt>
                <c:pt idx="200">
                  <c:v>0.123</c:v>
                </c:pt>
                <c:pt idx="201">
                  <c:v>0.15</c:v>
                </c:pt>
                <c:pt idx="202">
                  <c:v>3.2000000000000001E-2</c:v>
                </c:pt>
                <c:pt idx="203">
                  <c:v>0.127</c:v>
                </c:pt>
                <c:pt idx="204">
                  <c:v>7.0000000000000007E-2</c:v>
                </c:pt>
                <c:pt idx="205">
                  <c:v>0.107</c:v>
                </c:pt>
                <c:pt idx="206">
                  <c:v>0.14899999999999999</c:v>
                </c:pt>
                <c:pt idx="207">
                  <c:v>0.11600000000000001</c:v>
                </c:pt>
                <c:pt idx="208">
                  <c:v>9.7000000000000003E-2</c:v>
                </c:pt>
                <c:pt idx="209">
                  <c:v>0.17100000000000001</c:v>
                </c:pt>
                <c:pt idx="210">
                  <c:v>2.9000000000000001E-2</c:v>
                </c:pt>
                <c:pt idx="211">
                  <c:v>9.2999999999999999E-2</c:v>
                </c:pt>
                <c:pt idx="212">
                  <c:v>9.0999999999999998E-2</c:v>
                </c:pt>
                <c:pt idx="213">
                  <c:v>0.15</c:v>
                </c:pt>
                <c:pt idx="214">
                  <c:v>0</c:v>
                </c:pt>
                <c:pt idx="215">
                  <c:v>0.14699999999999999</c:v>
                </c:pt>
                <c:pt idx="216">
                  <c:v>0.126</c:v>
                </c:pt>
                <c:pt idx="217">
                  <c:v>0.246</c:v>
                </c:pt>
                <c:pt idx="218">
                  <c:v>0.22900000000000001</c:v>
                </c:pt>
                <c:pt idx="219">
                  <c:v>0.13300000000000001</c:v>
                </c:pt>
                <c:pt idx="220">
                  <c:v>0.14599999999999999</c:v>
                </c:pt>
                <c:pt idx="221">
                  <c:v>8.7999999999999995E-2</c:v>
                </c:pt>
                <c:pt idx="222">
                  <c:v>0.11600000000000001</c:v>
                </c:pt>
                <c:pt idx="223">
                  <c:v>3.5000000000000003E-2</c:v>
                </c:pt>
                <c:pt idx="224">
                  <c:v>0.19800000000000001</c:v>
                </c:pt>
                <c:pt idx="225">
                  <c:v>0.112</c:v>
                </c:pt>
                <c:pt idx="226">
                  <c:v>0.17100000000000001</c:v>
                </c:pt>
                <c:pt idx="227">
                  <c:v>9.2999999999999999E-2</c:v>
                </c:pt>
                <c:pt idx="228">
                  <c:v>7.0999999999999994E-2</c:v>
                </c:pt>
                <c:pt idx="229">
                  <c:v>0.20200000000000001</c:v>
                </c:pt>
                <c:pt idx="230">
                  <c:v>0.16900000000000001</c:v>
                </c:pt>
                <c:pt idx="231">
                  <c:v>0</c:v>
                </c:pt>
                <c:pt idx="232">
                  <c:v>6.9000000000000006E-2</c:v>
                </c:pt>
                <c:pt idx="233">
                  <c:v>0.126</c:v>
                </c:pt>
                <c:pt idx="234">
                  <c:v>4.8000000000000001E-2</c:v>
                </c:pt>
                <c:pt idx="235">
                  <c:v>0.11899999999999999</c:v>
                </c:pt>
                <c:pt idx="236">
                  <c:v>0.121</c:v>
                </c:pt>
                <c:pt idx="237">
                  <c:v>0.106</c:v>
                </c:pt>
                <c:pt idx="238">
                  <c:v>0.20100000000000001</c:v>
                </c:pt>
                <c:pt idx="239">
                  <c:v>0.186</c:v>
                </c:pt>
                <c:pt idx="240">
                  <c:v>0.28100000000000003</c:v>
                </c:pt>
                <c:pt idx="241">
                  <c:v>5.8999999999999997E-2</c:v>
                </c:pt>
                <c:pt idx="242">
                  <c:v>0.152</c:v>
                </c:pt>
                <c:pt idx="243">
                  <c:v>0</c:v>
                </c:pt>
                <c:pt idx="244">
                  <c:v>8.4000000000000005E-2</c:v>
                </c:pt>
                <c:pt idx="245">
                  <c:v>0</c:v>
                </c:pt>
                <c:pt idx="246">
                  <c:v>0.21</c:v>
                </c:pt>
                <c:pt idx="247">
                  <c:v>0.22700000000000001</c:v>
                </c:pt>
                <c:pt idx="248">
                  <c:v>0.15</c:v>
                </c:pt>
                <c:pt idx="249">
                  <c:v>2.5999999999999999E-2</c:v>
                </c:pt>
                <c:pt idx="250">
                  <c:v>0.27300000000000002</c:v>
                </c:pt>
                <c:pt idx="251">
                  <c:v>8.6999999999999994E-2</c:v>
                </c:pt>
                <c:pt idx="252">
                  <c:v>0.05</c:v>
                </c:pt>
                <c:pt idx="253">
                  <c:v>7.3999999999999996E-2</c:v>
                </c:pt>
                <c:pt idx="254">
                  <c:v>5.8999999999999997E-2</c:v>
                </c:pt>
                <c:pt idx="255">
                  <c:v>0</c:v>
                </c:pt>
                <c:pt idx="256">
                  <c:v>5.0999999999999997E-2</c:v>
                </c:pt>
                <c:pt idx="257">
                  <c:v>0.114</c:v>
                </c:pt>
                <c:pt idx="258">
                  <c:v>0.14299999999999999</c:v>
                </c:pt>
                <c:pt idx="259">
                  <c:v>7.0000000000000001E-3</c:v>
                </c:pt>
                <c:pt idx="260">
                  <c:v>0.13500000000000001</c:v>
                </c:pt>
                <c:pt idx="261">
                  <c:v>0.16900000000000001</c:v>
                </c:pt>
                <c:pt idx="262">
                  <c:v>8.5999999999999993E-2</c:v>
                </c:pt>
                <c:pt idx="263">
                  <c:v>0.217</c:v>
                </c:pt>
                <c:pt idx="264">
                  <c:v>9.4E-2</c:v>
                </c:pt>
                <c:pt idx="265">
                  <c:v>0.21099999999999999</c:v>
                </c:pt>
                <c:pt idx="266">
                  <c:v>0.17</c:v>
                </c:pt>
                <c:pt idx="267">
                  <c:v>2.5999999999999999E-2</c:v>
                </c:pt>
                <c:pt idx="268">
                  <c:v>0.106</c:v>
                </c:pt>
                <c:pt idx="269">
                  <c:v>0.13900000000000001</c:v>
                </c:pt>
                <c:pt idx="270">
                  <c:v>0.19800000000000001</c:v>
                </c:pt>
                <c:pt idx="271">
                  <c:v>0.111</c:v>
                </c:pt>
                <c:pt idx="272">
                  <c:v>5.1999999999999998E-2</c:v>
                </c:pt>
                <c:pt idx="273">
                  <c:v>0.153</c:v>
                </c:pt>
                <c:pt idx="274">
                  <c:v>0.14099999999999999</c:v>
                </c:pt>
                <c:pt idx="275">
                  <c:v>0.247</c:v>
                </c:pt>
                <c:pt idx="276">
                  <c:v>0.13</c:v>
                </c:pt>
                <c:pt idx="277">
                  <c:v>0</c:v>
                </c:pt>
                <c:pt idx="278">
                  <c:v>0.21299999999999999</c:v>
                </c:pt>
                <c:pt idx="279">
                  <c:v>4.0000000000000001E-3</c:v>
                </c:pt>
                <c:pt idx="280">
                  <c:v>6.9000000000000006E-2</c:v>
                </c:pt>
                <c:pt idx="281">
                  <c:v>5.0999999999999997E-2</c:v>
                </c:pt>
                <c:pt idx="282">
                  <c:v>7.0000000000000007E-2</c:v>
                </c:pt>
                <c:pt idx="283">
                  <c:v>0.122</c:v>
                </c:pt>
                <c:pt idx="284">
                  <c:v>8.9999999999999993E-3</c:v>
                </c:pt>
                <c:pt idx="285">
                  <c:v>0.14000000000000001</c:v>
                </c:pt>
                <c:pt idx="286">
                  <c:v>0.183</c:v>
                </c:pt>
                <c:pt idx="287">
                  <c:v>0.17399999999999999</c:v>
                </c:pt>
                <c:pt idx="288">
                  <c:v>0.27300000000000002</c:v>
                </c:pt>
                <c:pt idx="289">
                  <c:v>0.28399999999999997</c:v>
                </c:pt>
                <c:pt idx="290">
                  <c:v>3.2000000000000001E-2</c:v>
                </c:pt>
                <c:pt idx="291">
                  <c:v>0</c:v>
                </c:pt>
                <c:pt idx="292">
                  <c:v>9.6000000000000002E-2</c:v>
                </c:pt>
                <c:pt idx="293">
                  <c:v>0.11899999999999999</c:v>
                </c:pt>
                <c:pt idx="294">
                  <c:v>0.214</c:v>
                </c:pt>
                <c:pt idx="295">
                  <c:v>0.17100000000000001</c:v>
                </c:pt>
                <c:pt idx="296">
                  <c:v>3.5999999999999997E-2</c:v>
                </c:pt>
                <c:pt idx="297">
                  <c:v>0.10199999999999999</c:v>
                </c:pt>
                <c:pt idx="298">
                  <c:v>0.114</c:v>
                </c:pt>
                <c:pt idx="299">
                  <c:v>0.11700000000000001</c:v>
                </c:pt>
                <c:pt idx="300">
                  <c:v>0.14099999999999999</c:v>
                </c:pt>
                <c:pt idx="301">
                  <c:v>7.3999999999999996E-2</c:v>
                </c:pt>
                <c:pt idx="302">
                  <c:v>0.13800000000000001</c:v>
                </c:pt>
                <c:pt idx="303">
                  <c:v>0.19800000000000001</c:v>
                </c:pt>
                <c:pt idx="304">
                  <c:v>0.183</c:v>
                </c:pt>
                <c:pt idx="305">
                  <c:v>4.7E-2</c:v>
                </c:pt>
                <c:pt idx="306">
                  <c:v>0.14599999999999999</c:v>
                </c:pt>
                <c:pt idx="307">
                  <c:v>7.4999999999999997E-2</c:v>
                </c:pt>
                <c:pt idx="308">
                  <c:v>0.154</c:v>
                </c:pt>
                <c:pt idx="309">
                  <c:v>0.16700000000000001</c:v>
                </c:pt>
                <c:pt idx="310">
                  <c:v>0.2</c:v>
                </c:pt>
                <c:pt idx="311">
                  <c:v>0.14199999999999999</c:v>
                </c:pt>
                <c:pt idx="312">
                  <c:v>2.1000000000000001E-2</c:v>
                </c:pt>
                <c:pt idx="313">
                  <c:v>0.183</c:v>
                </c:pt>
                <c:pt idx="314">
                  <c:v>9.0999999999999998E-2</c:v>
                </c:pt>
                <c:pt idx="315">
                  <c:v>0.108</c:v>
                </c:pt>
                <c:pt idx="316">
                  <c:v>0.17399999999999999</c:v>
                </c:pt>
                <c:pt idx="317">
                  <c:v>0</c:v>
                </c:pt>
                <c:pt idx="318">
                  <c:v>0.215</c:v>
                </c:pt>
                <c:pt idx="319">
                  <c:v>0.16500000000000001</c:v>
                </c:pt>
              </c:numCache>
            </c:numRef>
          </c:xVal>
          <c:yVal>
            <c:numRef>
              <c:f>'Multiple Regression'!$B$28:$B$347</c:f>
              <c:numCache>
                <c:formatCode>General</c:formatCode>
                <c:ptCount val="320"/>
                <c:pt idx="0">
                  <c:v>759253.24684002204</c:v>
                </c:pt>
                <c:pt idx="1">
                  <c:v>724088.88741891354</c:v>
                </c:pt>
                <c:pt idx="2">
                  <c:v>766507.94313322054</c:v>
                </c:pt>
                <c:pt idx="3">
                  <c:v>772897.71900166175</c:v>
                </c:pt>
                <c:pt idx="4">
                  <c:v>759236.59464102832</c:v>
                </c:pt>
                <c:pt idx="5">
                  <c:v>796720.31007738272</c:v>
                </c:pt>
                <c:pt idx="6">
                  <c:v>802335.8679897195</c:v>
                </c:pt>
                <c:pt idx="7">
                  <c:v>758071.44304781524</c:v>
                </c:pt>
                <c:pt idx="8">
                  <c:v>835434.41920816887</c:v>
                </c:pt>
                <c:pt idx="9">
                  <c:v>779757.95342221716</c:v>
                </c:pt>
                <c:pt idx="10">
                  <c:v>732240.09336047294</c:v>
                </c:pt>
                <c:pt idx="11">
                  <c:v>858332.73444093473</c:v>
                </c:pt>
                <c:pt idx="12">
                  <c:v>904472.23671232129</c:v>
                </c:pt>
                <c:pt idx="13">
                  <c:v>792157.7336249795</c:v>
                </c:pt>
                <c:pt idx="14">
                  <c:v>750763.6372104754</c:v>
                </c:pt>
                <c:pt idx="15">
                  <c:v>856578.33559523558</c:v>
                </c:pt>
                <c:pt idx="16">
                  <c:v>696187.51978787174</c:v>
                </c:pt>
                <c:pt idx="17">
                  <c:v>604044.08636361035</c:v>
                </c:pt>
                <c:pt idx="18">
                  <c:v>679803.05628015031</c:v>
                </c:pt>
                <c:pt idx="19">
                  <c:v>600688.60144134983</c:v>
                </c:pt>
                <c:pt idx="20">
                  <c:v>513040.10744009679</c:v>
                </c:pt>
                <c:pt idx="21">
                  <c:v>497979.69129420089</c:v>
                </c:pt>
                <c:pt idx="22">
                  <c:v>551069.71313189634</c:v>
                </c:pt>
                <c:pt idx="23">
                  <c:v>543419.12236561731</c:v>
                </c:pt>
                <c:pt idx="24">
                  <c:v>812565.49043710809</c:v>
                </c:pt>
                <c:pt idx="25">
                  <c:v>898051.23582480138</c:v>
                </c:pt>
                <c:pt idx="26">
                  <c:v>775245.63440210547</c:v>
                </c:pt>
                <c:pt idx="27">
                  <c:v>706283.45886854373</c:v>
                </c:pt>
                <c:pt idx="28">
                  <c:v>605158.20946146618</c:v>
                </c:pt>
                <c:pt idx="29">
                  <c:v>537204.04035061027</c:v>
                </c:pt>
                <c:pt idx="30">
                  <c:v>526296.32098283502</c:v>
                </c:pt>
                <c:pt idx="31">
                  <c:v>501379.52422424307</c:v>
                </c:pt>
                <c:pt idx="32">
                  <c:v>766187.26204522606</c:v>
                </c:pt>
                <c:pt idx="33">
                  <c:v>874507.07742523763</c:v>
                </c:pt>
                <c:pt idx="34">
                  <c:v>802596.20434615877</c:v>
                </c:pt>
                <c:pt idx="35">
                  <c:v>792927.65188130992</c:v>
                </c:pt>
                <c:pt idx="36">
                  <c:v>778368.14888233808</c:v>
                </c:pt>
                <c:pt idx="37">
                  <c:v>733855.29202742875</c:v>
                </c:pt>
                <c:pt idx="38">
                  <c:v>746754.99445505836</c:v>
                </c:pt>
                <c:pt idx="39">
                  <c:v>792828.50376580923</c:v>
                </c:pt>
                <c:pt idx="40">
                  <c:v>553815.71599239821</c:v>
                </c:pt>
                <c:pt idx="41">
                  <c:v>552363.91092902678</c:v>
                </c:pt>
                <c:pt idx="42">
                  <c:v>583130.23449921724</c:v>
                </c:pt>
                <c:pt idx="43">
                  <c:v>598613.62488444475</c:v>
                </c:pt>
                <c:pt idx="44">
                  <c:v>740017.19982507743</c:v>
                </c:pt>
                <c:pt idx="45">
                  <c:v>615953.26271995006</c:v>
                </c:pt>
                <c:pt idx="46">
                  <c:v>589283.50181044894</c:v>
                </c:pt>
                <c:pt idx="47">
                  <c:v>585582.99740525964</c:v>
                </c:pt>
                <c:pt idx="48">
                  <c:v>618945.0746485847</c:v>
                </c:pt>
                <c:pt idx="49">
                  <c:v>628074.76341009943</c:v>
                </c:pt>
                <c:pt idx="50">
                  <c:v>631326.36182459712</c:v>
                </c:pt>
                <c:pt idx="51">
                  <c:v>715412.13787139801</c:v>
                </c:pt>
                <c:pt idx="52">
                  <c:v>577345.19625542732</c:v>
                </c:pt>
                <c:pt idx="53">
                  <c:v>702688.90618276584</c:v>
                </c:pt>
                <c:pt idx="54">
                  <c:v>682803.72982668539</c:v>
                </c:pt>
                <c:pt idx="55">
                  <c:v>535327.6293270418</c:v>
                </c:pt>
                <c:pt idx="56">
                  <c:v>506091.56565574498</c:v>
                </c:pt>
                <c:pt idx="57">
                  <c:v>552785.03618469054</c:v>
                </c:pt>
                <c:pt idx="58">
                  <c:v>662379.04719693714</c:v>
                </c:pt>
                <c:pt idx="59">
                  <c:v>603247.6109173923</c:v>
                </c:pt>
                <c:pt idx="60">
                  <c:v>662062.42522868712</c:v>
                </c:pt>
                <c:pt idx="61">
                  <c:v>571948.29505419917</c:v>
                </c:pt>
                <c:pt idx="62">
                  <c:v>580563.52884178422</c:v>
                </c:pt>
                <c:pt idx="63">
                  <c:v>706927.94013163366</c:v>
                </c:pt>
                <c:pt idx="64">
                  <c:v>792838.97017956094</c:v>
                </c:pt>
                <c:pt idx="65">
                  <c:v>725556.4599775098</c:v>
                </c:pt>
                <c:pt idx="66">
                  <c:v>819072.60211727698</c:v>
                </c:pt>
                <c:pt idx="67">
                  <c:v>730750.18012194824</c:v>
                </c:pt>
                <c:pt idx="68">
                  <c:v>593119.7795825646</c:v>
                </c:pt>
                <c:pt idx="69">
                  <c:v>524330.7831562598</c:v>
                </c:pt>
                <c:pt idx="70">
                  <c:v>562875.9602944284</c:v>
                </c:pt>
                <c:pt idx="71">
                  <c:v>647818.72948404215</c:v>
                </c:pt>
                <c:pt idx="72">
                  <c:v>630907.91585517745</c:v>
                </c:pt>
                <c:pt idx="73">
                  <c:v>688504.89336035785</c:v>
                </c:pt>
                <c:pt idx="74">
                  <c:v>696718.12650027801</c:v>
                </c:pt>
                <c:pt idx="75">
                  <c:v>730076.04365540436</c:v>
                </c:pt>
                <c:pt idx="76">
                  <c:v>683808.92170223896</c:v>
                </c:pt>
                <c:pt idx="77">
                  <c:v>661112.44054119417</c:v>
                </c:pt>
                <c:pt idx="78">
                  <c:v>731387.74082880386</c:v>
                </c:pt>
                <c:pt idx="79">
                  <c:v>671174.46951776755</c:v>
                </c:pt>
                <c:pt idx="80">
                  <c:v>649671.81003948452</c:v>
                </c:pt>
                <c:pt idx="81">
                  <c:v>624634.87436339329</c:v>
                </c:pt>
                <c:pt idx="82">
                  <c:v>645854.76789813407</c:v>
                </c:pt>
                <c:pt idx="83">
                  <c:v>572976.19138436322</c:v>
                </c:pt>
                <c:pt idx="84">
                  <c:v>571874.29421008227</c:v>
                </c:pt>
                <c:pt idx="85">
                  <c:v>631443.10125977884</c:v>
                </c:pt>
                <c:pt idx="86">
                  <c:v>625594.81935702427</c:v>
                </c:pt>
                <c:pt idx="87">
                  <c:v>465742.24574978818</c:v>
                </c:pt>
                <c:pt idx="88">
                  <c:v>694903.9015182209</c:v>
                </c:pt>
                <c:pt idx="89">
                  <c:v>745355.81577245321</c:v>
                </c:pt>
                <c:pt idx="90">
                  <c:v>695101.78459193441</c:v>
                </c:pt>
                <c:pt idx="91">
                  <c:v>560161.28855737578</c:v>
                </c:pt>
                <c:pt idx="92">
                  <c:v>593172.35977984429</c:v>
                </c:pt>
                <c:pt idx="93">
                  <c:v>708798.30072281603</c:v>
                </c:pt>
                <c:pt idx="94">
                  <c:v>774039.61000620225</c:v>
                </c:pt>
                <c:pt idx="95">
                  <c:v>622277.08413821214</c:v>
                </c:pt>
                <c:pt idx="96">
                  <c:v>684402.13874837046</c:v>
                </c:pt>
                <c:pt idx="97">
                  <c:v>662082.33835508279</c:v>
                </c:pt>
                <c:pt idx="98">
                  <c:v>610281.52325340686</c:v>
                </c:pt>
                <c:pt idx="99">
                  <c:v>637881.30045458721</c:v>
                </c:pt>
                <c:pt idx="100">
                  <c:v>573591.85722221667</c:v>
                </c:pt>
                <c:pt idx="101">
                  <c:v>607485.66332538985</c:v>
                </c:pt>
                <c:pt idx="102">
                  <c:v>719653.57481289178</c:v>
                </c:pt>
                <c:pt idx="103">
                  <c:v>514891.48478379007</c:v>
                </c:pt>
                <c:pt idx="104">
                  <c:v>718954.26800603489</c:v>
                </c:pt>
                <c:pt idx="105">
                  <c:v>787998.53508703667</c:v>
                </c:pt>
                <c:pt idx="106">
                  <c:v>710727.8799442465</c:v>
                </c:pt>
                <c:pt idx="107">
                  <c:v>684023.13806358795</c:v>
                </c:pt>
                <c:pt idx="108">
                  <c:v>710074.97455591417</c:v>
                </c:pt>
                <c:pt idx="109">
                  <c:v>641717.71048944036</c:v>
                </c:pt>
                <c:pt idx="110">
                  <c:v>645292.81717054453</c:v>
                </c:pt>
                <c:pt idx="111">
                  <c:v>595587.07154807204</c:v>
                </c:pt>
                <c:pt idx="112">
                  <c:v>770179.60444179678</c:v>
                </c:pt>
                <c:pt idx="113">
                  <c:v>811809.12660692108</c:v>
                </c:pt>
                <c:pt idx="114">
                  <c:v>748464.59572233551</c:v>
                </c:pt>
                <c:pt idx="115">
                  <c:v>742379.18652536208</c:v>
                </c:pt>
                <c:pt idx="116">
                  <c:v>710060.88802308042</c:v>
                </c:pt>
                <c:pt idx="117">
                  <c:v>749646.07640429819</c:v>
                </c:pt>
                <c:pt idx="118">
                  <c:v>736857.78026991279</c:v>
                </c:pt>
                <c:pt idx="119">
                  <c:v>719009.66248009726</c:v>
                </c:pt>
                <c:pt idx="120">
                  <c:v>575712.08829801157</c:v>
                </c:pt>
                <c:pt idx="121">
                  <c:v>622702.20254863496</c:v>
                </c:pt>
                <c:pt idx="122">
                  <c:v>601645.73356804578</c:v>
                </c:pt>
                <c:pt idx="123">
                  <c:v>470776.82543624792</c:v>
                </c:pt>
                <c:pt idx="124">
                  <c:v>812299.43192425638</c:v>
                </c:pt>
                <c:pt idx="125">
                  <c:v>811325.21556025825</c:v>
                </c:pt>
                <c:pt idx="126">
                  <c:v>771821.39985198283</c:v>
                </c:pt>
                <c:pt idx="127">
                  <c:v>714712.2953581257</c:v>
                </c:pt>
                <c:pt idx="128">
                  <c:v>823425.34091719228</c:v>
                </c:pt>
                <c:pt idx="129">
                  <c:v>819388.08039829205</c:v>
                </c:pt>
                <c:pt idx="130">
                  <c:v>772067.72180727171</c:v>
                </c:pt>
                <c:pt idx="131">
                  <c:v>835669.68691974832</c:v>
                </c:pt>
                <c:pt idx="132">
                  <c:v>579330.88028028875</c:v>
                </c:pt>
                <c:pt idx="133">
                  <c:v>472882.06450583047</c:v>
                </c:pt>
                <c:pt idx="134">
                  <c:v>577544.90982965683</c:v>
                </c:pt>
                <c:pt idx="135">
                  <c:v>534062.08478965738</c:v>
                </c:pt>
                <c:pt idx="136">
                  <c:v>745885.75903956871</c:v>
                </c:pt>
                <c:pt idx="137">
                  <c:v>692270.11196989357</c:v>
                </c:pt>
                <c:pt idx="138">
                  <c:v>689810.62489300163</c:v>
                </c:pt>
                <c:pt idx="139">
                  <c:v>621410.31119303626</c:v>
                </c:pt>
                <c:pt idx="140">
                  <c:v>668185.55658928177</c:v>
                </c:pt>
                <c:pt idx="141">
                  <c:v>688329.64290619222</c:v>
                </c:pt>
                <c:pt idx="142">
                  <c:v>648137.25374256889</c:v>
                </c:pt>
                <c:pt idx="143">
                  <c:v>660044.10478721361</c:v>
                </c:pt>
                <c:pt idx="144">
                  <c:v>614195.2293791573</c:v>
                </c:pt>
                <c:pt idx="145">
                  <c:v>562640.79000531661</c:v>
                </c:pt>
                <c:pt idx="146">
                  <c:v>594073.63665160397</c:v>
                </c:pt>
                <c:pt idx="147">
                  <c:v>575743.79376626504</c:v>
                </c:pt>
                <c:pt idx="148">
                  <c:v>637620.73015109519</c:v>
                </c:pt>
                <c:pt idx="149">
                  <c:v>669511.12365382875</c:v>
                </c:pt>
                <c:pt idx="150">
                  <c:v>635246.10839179822</c:v>
                </c:pt>
                <c:pt idx="151">
                  <c:v>666940.57617454161</c:v>
                </c:pt>
                <c:pt idx="152">
                  <c:v>794279.7139504638</c:v>
                </c:pt>
                <c:pt idx="153">
                  <c:v>688736.08959228545</c:v>
                </c:pt>
                <c:pt idx="154">
                  <c:v>718149.05793342355</c:v>
                </c:pt>
                <c:pt idx="155">
                  <c:v>694470.61831812246</c:v>
                </c:pt>
                <c:pt idx="156">
                  <c:v>713653.43301528017</c:v>
                </c:pt>
                <c:pt idx="157">
                  <c:v>623021.52143490477</c:v>
                </c:pt>
                <c:pt idx="158">
                  <c:v>690458.19211826846</c:v>
                </c:pt>
                <c:pt idx="159">
                  <c:v>545741.70489860745</c:v>
                </c:pt>
                <c:pt idx="160">
                  <c:v>686117.58189425175</c:v>
                </c:pt>
                <c:pt idx="161">
                  <c:v>691021.91730953066</c:v>
                </c:pt>
                <c:pt idx="162">
                  <c:v>721951.47204628156</c:v>
                </c:pt>
                <c:pt idx="163">
                  <c:v>676908.12206759281</c:v>
                </c:pt>
                <c:pt idx="164">
                  <c:v>785342.17396988242</c:v>
                </c:pt>
                <c:pt idx="165">
                  <c:v>728513.37619696674</c:v>
                </c:pt>
                <c:pt idx="166">
                  <c:v>663651.51771364512</c:v>
                </c:pt>
                <c:pt idx="167">
                  <c:v>799160.39660130639</c:v>
                </c:pt>
                <c:pt idx="168">
                  <c:v>777434.14712334343</c:v>
                </c:pt>
                <c:pt idx="169">
                  <c:v>687116.27799482737</c:v>
                </c:pt>
                <c:pt idx="170">
                  <c:v>748529.77497078094</c:v>
                </c:pt>
                <c:pt idx="171">
                  <c:v>692913.22586685873</c:v>
                </c:pt>
                <c:pt idx="172">
                  <c:v>757943.74482893676</c:v>
                </c:pt>
                <c:pt idx="173">
                  <c:v>762436.87158584979</c:v>
                </c:pt>
                <c:pt idx="174">
                  <c:v>800383.36662569758</c:v>
                </c:pt>
                <c:pt idx="175">
                  <c:v>811022.0980688635</c:v>
                </c:pt>
                <c:pt idx="176">
                  <c:v>902282.11253843817</c:v>
                </c:pt>
                <c:pt idx="177">
                  <c:v>698440.43725437729</c:v>
                </c:pt>
                <c:pt idx="178">
                  <c:v>754882.49086245778</c:v>
                </c:pt>
                <c:pt idx="179">
                  <c:v>834328.31376793189</c:v>
                </c:pt>
                <c:pt idx="180">
                  <c:v>866888.80664809712</c:v>
                </c:pt>
                <c:pt idx="181">
                  <c:v>765340.13071255141</c:v>
                </c:pt>
                <c:pt idx="182">
                  <c:v>805691.18397890218</c:v>
                </c:pt>
                <c:pt idx="183">
                  <c:v>834923.35338050581</c:v>
                </c:pt>
                <c:pt idx="184">
                  <c:v>683915.79388460307</c:v>
                </c:pt>
                <c:pt idx="185">
                  <c:v>631279.093706007</c:v>
                </c:pt>
                <c:pt idx="186">
                  <c:v>671659.45836138364</c:v>
                </c:pt>
                <c:pt idx="187">
                  <c:v>744954.38282641978</c:v>
                </c:pt>
                <c:pt idx="188">
                  <c:v>603421.15500323405</c:v>
                </c:pt>
                <c:pt idx="189">
                  <c:v>540174.06532746181</c:v>
                </c:pt>
                <c:pt idx="190">
                  <c:v>466761.38971965393</c:v>
                </c:pt>
                <c:pt idx="191">
                  <c:v>598758.02773128334</c:v>
                </c:pt>
                <c:pt idx="192">
                  <c:v>700537.49887354765</c:v>
                </c:pt>
                <c:pt idx="193">
                  <c:v>632424.67772512883</c:v>
                </c:pt>
                <c:pt idx="194">
                  <c:v>579529.2231825029</c:v>
                </c:pt>
                <c:pt idx="195">
                  <c:v>547015.96087993577</c:v>
                </c:pt>
                <c:pt idx="196">
                  <c:v>644119.45895451575</c:v>
                </c:pt>
                <c:pt idx="197">
                  <c:v>609830.0913451761</c:v>
                </c:pt>
                <c:pt idx="198">
                  <c:v>609294.93056210002</c:v>
                </c:pt>
                <c:pt idx="199">
                  <c:v>644468.57750868099</c:v>
                </c:pt>
                <c:pt idx="200">
                  <c:v>618613.30020958174</c:v>
                </c:pt>
                <c:pt idx="201">
                  <c:v>694264.52827036101</c:v>
                </c:pt>
                <c:pt idx="202">
                  <c:v>672920.3907789744</c:v>
                </c:pt>
                <c:pt idx="203">
                  <c:v>667813.4776217438</c:v>
                </c:pt>
                <c:pt idx="204">
                  <c:v>820865.03577741864</c:v>
                </c:pt>
                <c:pt idx="205">
                  <c:v>720863.16134989948</c:v>
                </c:pt>
                <c:pt idx="206">
                  <c:v>745840.55207327008</c:v>
                </c:pt>
                <c:pt idx="207">
                  <c:v>736835.48676057649</c:v>
                </c:pt>
                <c:pt idx="208">
                  <c:v>807685.50590268848</c:v>
                </c:pt>
                <c:pt idx="209">
                  <c:v>778166.99716798542</c:v>
                </c:pt>
                <c:pt idx="210">
                  <c:v>956479.59241207002</c:v>
                </c:pt>
                <c:pt idx="211">
                  <c:v>779535.60019891907</c:v>
                </c:pt>
                <c:pt idx="212">
                  <c:v>783544.6402106348</c:v>
                </c:pt>
                <c:pt idx="213">
                  <c:v>764882.55475451984</c:v>
                </c:pt>
                <c:pt idx="214">
                  <c:v>778533.41821393953</c:v>
                </c:pt>
                <c:pt idx="215">
                  <c:v>832305.77385166881</c:v>
                </c:pt>
                <c:pt idx="216">
                  <c:v>652832.89315070689</c:v>
                </c:pt>
                <c:pt idx="217">
                  <c:v>589416.30470322585</c:v>
                </c:pt>
                <c:pt idx="218">
                  <c:v>600771.31896567263</c:v>
                </c:pt>
                <c:pt idx="219">
                  <c:v>568198.06603688269</c:v>
                </c:pt>
                <c:pt idx="220">
                  <c:v>696745.94540503353</c:v>
                </c:pt>
                <c:pt idx="221">
                  <c:v>675901.59374685993</c:v>
                </c:pt>
                <c:pt idx="222">
                  <c:v>734637.68708096631</c:v>
                </c:pt>
                <c:pt idx="223">
                  <c:v>779267.67089512723</c:v>
                </c:pt>
                <c:pt idx="224">
                  <c:v>622497.45226846961</c:v>
                </c:pt>
                <c:pt idx="225">
                  <c:v>554816.24351644691</c:v>
                </c:pt>
                <c:pt idx="226">
                  <c:v>567902.54907259671</c:v>
                </c:pt>
                <c:pt idx="227">
                  <c:v>486914.45440305717</c:v>
                </c:pt>
                <c:pt idx="228">
                  <c:v>640361.9656184091</c:v>
                </c:pt>
                <c:pt idx="229">
                  <c:v>816512.81975268247</c:v>
                </c:pt>
                <c:pt idx="230">
                  <c:v>646697.90033081966</c:v>
                </c:pt>
                <c:pt idx="231">
                  <c:v>616778.33238736866</c:v>
                </c:pt>
                <c:pt idx="232">
                  <c:v>605432.81452445104</c:v>
                </c:pt>
                <c:pt idx="233">
                  <c:v>652253.93195704522</c:v>
                </c:pt>
                <c:pt idx="234">
                  <c:v>665525.01914354146</c:v>
                </c:pt>
                <c:pt idx="235">
                  <c:v>665744.54873103381</c:v>
                </c:pt>
                <c:pt idx="236">
                  <c:v>789418.16609060264</c:v>
                </c:pt>
                <c:pt idx="237">
                  <c:v>823807.79618193081</c:v>
                </c:pt>
                <c:pt idx="238">
                  <c:v>789712.12307217333</c:v>
                </c:pt>
                <c:pt idx="239">
                  <c:v>740691.54283226165</c:v>
                </c:pt>
                <c:pt idx="240">
                  <c:v>729240.50084088661</c:v>
                </c:pt>
                <c:pt idx="241">
                  <c:v>647499.42178190092</c:v>
                </c:pt>
                <c:pt idx="242">
                  <c:v>809522.53965045628</c:v>
                </c:pt>
                <c:pt idx="243">
                  <c:v>733810.67378014571</c:v>
                </c:pt>
                <c:pt idx="244">
                  <c:v>784201.24449038168</c:v>
                </c:pt>
                <c:pt idx="245">
                  <c:v>752039.21015795367</c:v>
                </c:pt>
                <c:pt idx="246">
                  <c:v>698439.59981694445</c:v>
                </c:pt>
                <c:pt idx="247">
                  <c:v>681153.61522291065</c:v>
                </c:pt>
                <c:pt idx="248">
                  <c:v>567578.37976195395</c:v>
                </c:pt>
                <c:pt idx="249">
                  <c:v>678409.66144027503</c:v>
                </c:pt>
                <c:pt idx="250">
                  <c:v>635904.33263238019</c:v>
                </c:pt>
                <c:pt idx="251">
                  <c:v>737015.10350888933</c:v>
                </c:pt>
                <c:pt idx="252">
                  <c:v>720508.98809447594</c:v>
                </c:pt>
                <c:pt idx="253">
                  <c:v>700141.17981703172</c:v>
                </c:pt>
                <c:pt idx="254">
                  <c:v>674146.51351943857</c:v>
                </c:pt>
                <c:pt idx="255">
                  <c:v>639767.33521367819</c:v>
                </c:pt>
                <c:pt idx="256">
                  <c:v>748037.41978896922</c:v>
                </c:pt>
                <c:pt idx="257">
                  <c:v>680983.84657363081</c:v>
                </c:pt>
                <c:pt idx="258">
                  <c:v>731648.10170362098</c:v>
                </c:pt>
                <c:pt idx="259">
                  <c:v>710319.38130024227</c:v>
                </c:pt>
                <c:pt idx="260">
                  <c:v>521515.30751900194</c:v>
                </c:pt>
                <c:pt idx="261">
                  <c:v>609499.25749626092</c:v>
                </c:pt>
                <c:pt idx="262">
                  <c:v>630129.23140346585</c:v>
                </c:pt>
                <c:pt idx="263">
                  <c:v>597224.16415453062</c:v>
                </c:pt>
                <c:pt idx="264">
                  <c:v>708845.24992508371</c:v>
                </c:pt>
                <c:pt idx="265">
                  <c:v>741966.93419628928</c:v>
                </c:pt>
                <c:pt idx="266">
                  <c:v>721057.07227916224</c:v>
                </c:pt>
                <c:pt idx="267">
                  <c:v>721990.70981133985</c:v>
                </c:pt>
                <c:pt idx="268">
                  <c:v>720581.51689546101</c:v>
                </c:pt>
                <c:pt idx="269">
                  <c:v>688262.93965865113</c:v>
                </c:pt>
                <c:pt idx="270">
                  <c:v>799326.72740102338</c:v>
                </c:pt>
                <c:pt idx="271">
                  <c:v>677720.52428942418</c:v>
                </c:pt>
                <c:pt idx="272">
                  <c:v>658511.06718635885</c:v>
                </c:pt>
                <c:pt idx="273">
                  <c:v>532747.64461966697</c:v>
                </c:pt>
                <c:pt idx="274">
                  <c:v>649967.09500705439</c:v>
                </c:pt>
                <c:pt idx="275">
                  <c:v>634171.28410680173</c:v>
                </c:pt>
                <c:pt idx="276">
                  <c:v>750465.11324100103</c:v>
                </c:pt>
                <c:pt idx="277">
                  <c:v>714696.64467765065</c:v>
                </c:pt>
                <c:pt idx="278">
                  <c:v>753636.70430260745</c:v>
                </c:pt>
                <c:pt idx="279">
                  <c:v>789585.83970078046</c:v>
                </c:pt>
                <c:pt idx="280">
                  <c:v>585392.6765876296</c:v>
                </c:pt>
                <c:pt idx="281">
                  <c:v>585458.1922143054</c:v>
                </c:pt>
                <c:pt idx="282">
                  <c:v>666073.97084973997</c:v>
                </c:pt>
                <c:pt idx="283">
                  <c:v>516199.52052399365</c:v>
                </c:pt>
                <c:pt idx="284">
                  <c:v>669034.99367261969</c:v>
                </c:pt>
                <c:pt idx="285">
                  <c:v>637682.42574972776</c:v>
                </c:pt>
                <c:pt idx="286">
                  <c:v>601161.78824034473</c:v>
                </c:pt>
                <c:pt idx="287">
                  <c:v>583246.20396702818</c:v>
                </c:pt>
                <c:pt idx="288">
                  <c:v>744476.02150991966</c:v>
                </c:pt>
                <c:pt idx="289">
                  <c:v>719087.23545677611</c:v>
                </c:pt>
                <c:pt idx="290">
                  <c:v>744541.85133001755</c:v>
                </c:pt>
                <c:pt idx="291">
                  <c:v>703505.60489899642</c:v>
                </c:pt>
                <c:pt idx="292">
                  <c:v>594017.27207521291</c:v>
                </c:pt>
                <c:pt idx="293">
                  <c:v>528909.13146417751</c:v>
                </c:pt>
                <c:pt idx="294">
                  <c:v>505104.19464019005</c:v>
                </c:pt>
                <c:pt idx="295">
                  <c:v>488537.97863514739</c:v>
                </c:pt>
                <c:pt idx="296">
                  <c:v>672640.45410775626</c:v>
                </c:pt>
                <c:pt idx="297">
                  <c:v>666891.68220752</c:v>
                </c:pt>
                <c:pt idx="298">
                  <c:v>621513.63382172515</c:v>
                </c:pt>
                <c:pt idx="299">
                  <c:v>481106.97595513979</c:v>
                </c:pt>
                <c:pt idx="300">
                  <c:v>714974.57708338555</c:v>
                </c:pt>
                <c:pt idx="301">
                  <c:v>738630.66342417244</c:v>
                </c:pt>
                <c:pt idx="302">
                  <c:v>729651.17455352668</c:v>
                </c:pt>
                <c:pt idx="303">
                  <c:v>697770.20527669415</c:v>
                </c:pt>
                <c:pt idx="304">
                  <c:v>669858.33989245049</c:v>
                </c:pt>
                <c:pt idx="305">
                  <c:v>647387.64818553219</c:v>
                </c:pt>
                <c:pt idx="306">
                  <c:v>628274.38222412451</c:v>
                </c:pt>
                <c:pt idx="307">
                  <c:v>681416.76416687807</c:v>
                </c:pt>
                <c:pt idx="308">
                  <c:v>639039.68042602704</c:v>
                </c:pt>
                <c:pt idx="309">
                  <c:v>593808.81437924667</c:v>
                </c:pt>
                <c:pt idx="310">
                  <c:v>630720.46057469351</c:v>
                </c:pt>
                <c:pt idx="311">
                  <c:v>740562.05549299705</c:v>
                </c:pt>
                <c:pt idx="312">
                  <c:v>699110.01181331405</c:v>
                </c:pt>
                <c:pt idx="313">
                  <c:v>708852.73812193319</c:v>
                </c:pt>
                <c:pt idx="314">
                  <c:v>668681.35318483552</c:v>
                </c:pt>
                <c:pt idx="315">
                  <c:v>804819.77224413783</c:v>
                </c:pt>
                <c:pt idx="316">
                  <c:v>665261.79580303817</c:v>
                </c:pt>
                <c:pt idx="317">
                  <c:v>547982.80290306825</c:v>
                </c:pt>
                <c:pt idx="318">
                  <c:v>739340.97925306484</c:v>
                </c:pt>
                <c:pt idx="319">
                  <c:v>614228.872199176</c:v>
                </c:pt>
              </c:numCache>
            </c:numRef>
          </c:yVal>
          <c:smooth val="0"/>
          <c:extLst>
            <c:ext xmlns:c16="http://schemas.microsoft.com/office/drawing/2014/chart" uri="{C3380CC4-5D6E-409C-BE32-E72D297353CC}">
              <c16:uniqueId val="{00000001-455B-4A20-8AEA-E509F4F3C544}"/>
            </c:ext>
          </c:extLst>
        </c:ser>
        <c:dLbls>
          <c:showLegendKey val="0"/>
          <c:showVal val="0"/>
          <c:showCatName val="0"/>
          <c:showSerName val="0"/>
          <c:showPercent val="0"/>
          <c:showBubbleSize val="0"/>
        </c:dLbls>
        <c:axId val="298104176"/>
        <c:axId val="298105488"/>
      </c:scatterChart>
      <c:valAx>
        <c:axId val="298104176"/>
        <c:scaling>
          <c:orientation val="minMax"/>
        </c:scaling>
        <c:delete val="0"/>
        <c:axPos val="b"/>
        <c:title>
          <c:tx>
            <c:rich>
              <a:bodyPr/>
              <a:lstStyle/>
              <a:p>
                <a:pPr>
                  <a:defRPr/>
                </a:pPr>
                <a:r>
                  <a:rPr lang="en-IN"/>
                  <a:t>avg_discount_pct</a:t>
                </a:r>
              </a:p>
            </c:rich>
          </c:tx>
          <c:overlay val="0"/>
        </c:title>
        <c:numFmt formatCode="General" sourceLinked="1"/>
        <c:majorTickMark val="out"/>
        <c:minorTickMark val="none"/>
        <c:tickLblPos val="nextTo"/>
        <c:crossAx val="298105488"/>
        <c:crosses val="autoZero"/>
        <c:crossBetween val="midCat"/>
      </c:valAx>
      <c:valAx>
        <c:axId val="298105488"/>
        <c:scaling>
          <c:orientation val="minMax"/>
        </c:scaling>
        <c:delete val="0"/>
        <c:axPos val="l"/>
        <c:title>
          <c:tx>
            <c:rich>
              <a:bodyPr/>
              <a:lstStyle/>
              <a:p>
                <a:pPr>
                  <a:defRPr/>
                </a:pPr>
                <a:r>
                  <a:rPr lang="en-IN"/>
                  <a:t>monthly_sales</a:t>
                </a:r>
              </a:p>
            </c:rich>
          </c:tx>
          <c:overlay val="0"/>
        </c:title>
        <c:numFmt formatCode="General" sourceLinked="1"/>
        <c:majorTickMark val="out"/>
        <c:minorTickMark val="none"/>
        <c:tickLblPos val="nextTo"/>
        <c:crossAx val="298104176"/>
        <c:crosses val="autoZero"/>
        <c:crossBetween val="midCat"/>
      </c:valAx>
    </c:plotArea>
    <c:legend>
      <c:legendPos val="r"/>
      <c:overlay val="0"/>
    </c:legend>
    <c:plotVisOnly val="1"/>
    <c:dispBlanksAs val="gap"/>
    <c:extLst>
      <c:ext xmlns:c16r3="http://schemas.microsoft.com/office/drawing/2017/03/chart" uri="{56B9EC1D-385E-4148-901F-78D8002777C0}">
        <c16r3:dataDisplayOptions16>
          <c16r3:dispNaAsBlank val="1"/>
        </c16r3:dataDisplayOptions16>
      </c:ext>
    </c:extLst>
    <c:showDLblsOverMax val="0"/>
  </c:chart>
  <c:printSettings>
    <c:headerFooter/>
    <c:pageMargins b="0.75" l="0.7" r="0.7" t="0.75" header="0.3" footer="0.3"/>
    <c:pageSetup/>
  </c:printSettings>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a:pPr>
            <a:r>
              <a:rPr lang="en-IN"/>
              <a:t>marketing_spend Line Fit  Plot</a:t>
            </a:r>
          </a:p>
        </c:rich>
      </c:tx>
      <c:overlay val="0"/>
    </c:title>
    <c:autoTitleDeleted val="0"/>
    <c:plotArea>
      <c:layout/>
      <c:scatterChart>
        <c:scatterStyle val="lineMarker"/>
        <c:varyColors val="0"/>
        <c:ser>
          <c:idx val="0"/>
          <c:order val="0"/>
          <c:tx>
            <c:v>monthly_sales</c:v>
          </c:tx>
          <c:spPr>
            <a:ln w="38100">
              <a:noFill/>
            </a:ln>
          </c:spPr>
          <c:xVal>
            <c:numRef>
              <c:f>store_performance!$H$2:$H$321</c:f>
              <c:numCache>
                <c:formatCode>General</c:formatCode>
                <c:ptCount val="320"/>
                <c:pt idx="0">
                  <c:v>70389.11</c:v>
                </c:pt>
                <c:pt idx="1">
                  <c:v>43827.89</c:v>
                </c:pt>
                <c:pt idx="2">
                  <c:v>59921.75</c:v>
                </c:pt>
                <c:pt idx="3">
                  <c:v>56856.63</c:v>
                </c:pt>
                <c:pt idx="4">
                  <c:v>48412.639999999999</c:v>
                </c:pt>
                <c:pt idx="5">
                  <c:v>64811.21</c:v>
                </c:pt>
                <c:pt idx="6">
                  <c:v>46213.45</c:v>
                </c:pt>
                <c:pt idx="7">
                  <c:v>68148.52</c:v>
                </c:pt>
                <c:pt idx="8">
                  <c:v>71838.86</c:v>
                </c:pt>
                <c:pt idx="9">
                  <c:v>68133.440000000002</c:v>
                </c:pt>
                <c:pt idx="10">
                  <c:v>34285.21</c:v>
                </c:pt>
                <c:pt idx="11">
                  <c:v>67979.88</c:v>
                </c:pt>
                <c:pt idx="12">
                  <c:v>71828.259999999995</c:v>
                </c:pt>
                <c:pt idx="13">
                  <c:v>55716.82</c:v>
                </c:pt>
                <c:pt idx="14">
                  <c:v>59909.51</c:v>
                </c:pt>
                <c:pt idx="15">
                  <c:v>75305.710000000006</c:v>
                </c:pt>
                <c:pt idx="16">
                  <c:v>48804.22</c:v>
                </c:pt>
                <c:pt idx="17">
                  <c:v>59117.9</c:v>
                </c:pt>
                <c:pt idx="18">
                  <c:v>78831.12</c:v>
                </c:pt>
                <c:pt idx="19">
                  <c:v>41441.93</c:v>
                </c:pt>
                <c:pt idx="20">
                  <c:v>30356.28</c:v>
                </c:pt>
                <c:pt idx="21">
                  <c:v>33518.879999999997</c:v>
                </c:pt>
                <c:pt idx="22">
                  <c:v>42267.37</c:v>
                </c:pt>
                <c:pt idx="23">
                  <c:v>62060.43</c:v>
                </c:pt>
                <c:pt idx="24">
                  <c:v>57696.69</c:v>
                </c:pt>
                <c:pt idx="25">
                  <c:v>172415.52</c:v>
                </c:pt>
                <c:pt idx="26">
                  <c:v>55270.52</c:v>
                </c:pt>
                <c:pt idx="27">
                  <c:v>52715.1</c:v>
                </c:pt>
                <c:pt idx="28">
                  <c:v>68600.62</c:v>
                </c:pt>
                <c:pt idx="29">
                  <c:v>63176.73</c:v>
                </c:pt>
                <c:pt idx="30">
                  <c:v>44970.080000000002</c:v>
                </c:pt>
                <c:pt idx="31">
                  <c:v>69816.350000000006</c:v>
                </c:pt>
                <c:pt idx="32">
                  <c:v>54597.83</c:v>
                </c:pt>
                <c:pt idx="33">
                  <c:v>73771.91</c:v>
                </c:pt>
                <c:pt idx="34">
                  <c:v>74413.88</c:v>
                </c:pt>
                <c:pt idx="35">
                  <c:v>52483.77</c:v>
                </c:pt>
                <c:pt idx="36">
                  <c:v>75269.87</c:v>
                </c:pt>
                <c:pt idx="37">
                  <c:v>61245.41</c:v>
                </c:pt>
                <c:pt idx="38">
                  <c:v>93381.26</c:v>
                </c:pt>
                <c:pt idx="39">
                  <c:v>65012.19</c:v>
                </c:pt>
                <c:pt idx="40">
                  <c:v>40462.94</c:v>
                </c:pt>
                <c:pt idx="41">
                  <c:v>46123.88</c:v>
                </c:pt>
                <c:pt idx="42">
                  <c:v>68077.539999999994</c:v>
                </c:pt>
                <c:pt idx="43">
                  <c:v>64882.14</c:v>
                </c:pt>
                <c:pt idx="44">
                  <c:v>138855.51</c:v>
                </c:pt>
                <c:pt idx="45">
                  <c:v>63630.21</c:v>
                </c:pt>
                <c:pt idx="46">
                  <c:v>50043.65</c:v>
                </c:pt>
                <c:pt idx="47">
                  <c:v>42093.84</c:v>
                </c:pt>
                <c:pt idx="48">
                  <c:v>46624.05</c:v>
                </c:pt>
                <c:pt idx="49">
                  <c:v>49710.29</c:v>
                </c:pt>
                <c:pt idx="50">
                  <c:v>48287.85</c:v>
                </c:pt>
                <c:pt idx="51">
                  <c:v>65312.49</c:v>
                </c:pt>
                <c:pt idx="52">
                  <c:v>53015.46</c:v>
                </c:pt>
                <c:pt idx="53">
                  <c:v>99874.01</c:v>
                </c:pt>
                <c:pt idx="54">
                  <c:v>81195.5</c:v>
                </c:pt>
                <c:pt idx="55">
                  <c:v>27808.6</c:v>
                </c:pt>
                <c:pt idx="56">
                  <c:v>19365.060000000001</c:v>
                </c:pt>
                <c:pt idx="57">
                  <c:v>59405.68</c:v>
                </c:pt>
                <c:pt idx="58">
                  <c:v>118910.48</c:v>
                </c:pt>
                <c:pt idx="59">
                  <c:v>52952.12</c:v>
                </c:pt>
                <c:pt idx="60">
                  <c:v>74907.98</c:v>
                </c:pt>
                <c:pt idx="61">
                  <c:v>37284.660000000003</c:v>
                </c:pt>
                <c:pt idx="62">
                  <c:v>50343.19</c:v>
                </c:pt>
                <c:pt idx="63">
                  <c:v>74954.47</c:v>
                </c:pt>
                <c:pt idx="64">
                  <c:v>70040.31</c:v>
                </c:pt>
                <c:pt idx="65">
                  <c:v>51148.69</c:v>
                </c:pt>
                <c:pt idx="66">
                  <c:v>79346.100000000006</c:v>
                </c:pt>
                <c:pt idx="67">
                  <c:v>42018.400000000001</c:v>
                </c:pt>
                <c:pt idx="68">
                  <c:v>70937.240000000005</c:v>
                </c:pt>
                <c:pt idx="69">
                  <c:v>36813.449999999997</c:v>
                </c:pt>
                <c:pt idx="70">
                  <c:v>60571.82</c:v>
                </c:pt>
                <c:pt idx="71">
                  <c:v>55081.16</c:v>
                </c:pt>
                <c:pt idx="72">
                  <c:v>46201.46</c:v>
                </c:pt>
                <c:pt idx="73">
                  <c:v>53762.92</c:v>
                </c:pt>
                <c:pt idx="74">
                  <c:v>70144.78</c:v>
                </c:pt>
                <c:pt idx="75">
                  <c:v>58749.63</c:v>
                </c:pt>
                <c:pt idx="76">
                  <c:v>56973.18</c:v>
                </c:pt>
                <c:pt idx="77">
                  <c:v>54872.82</c:v>
                </c:pt>
                <c:pt idx="78">
                  <c:v>80562.81</c:v>
                </c:pt>
                <c:pt idx="79">
                  <c:v>77999.899999999994</c:v>
                </c:pt>
                <c:pt idx="80">
                  <c:v>60881.01</c:v>
                </c:pt>
                <c:pt idx="81">
                  <c:v>60628.38</c:v>
                </c:pt>
                <c:pt idx="82">
                  <c:v>72731.14</c:v>
                </c:pt>
                <c:pt idx="83">
                  <c:v>36475.71</c:v>
                </c:pt>
                <c:pt idx="84">
                  <c:v>55388.11</c:v>
                </c:pt>
                <c:pt idx="85">
                  <c:v>88443.77</c:v>
                </c:pt>
                <c:pt idx="86">
                  <c:v>78231.91</c:v>
                </c:pt>
                <c:pt idx="87">
                  <c:v>18996.32</c:v>
                </c:pt>
                <c:pt idx="88">
                  <c:v>50517.94</c:v>
                </c:pt>
                <c:pt idx="89">
                  <c:v>141540.29</c:v>
                </c:pt>
                <c:pt idx="90">
                  <c:v>82116.19</c:v>
                </c:pt>
                <c:pt idx="91">
                  <c:v>31207.51</c:v>
                </c:pt>
                <c:pt idx="92">
                  <c:v>38966.589999999997</c:v>
                </c:pt>
                <c:pt idx="93">
                  <c:v>67439.3</c:v>
                </c:pt>
                <c:pt idx="94">
                  <c:v>86421.88</c:v>
                </c:pt>
                <c:pt idx="95">
                  <c:v>9534.65</c:v>
                </c:pt>
                <c:pt idx="96">
                  <c:v>61132.07</c:v>
                </c:pt>
                <c:pt idx="97">
                  <c:v>78839.39</c:v>
                </c:pt>
                <c:pt idx="98">
                  <c:v>38752.800000000003</c:v>
                </c:pt>
                <c:pt idx="99">
                  <c:v>55101.1</c:v>
                </c:pt>
                <c:pt idx="100">
                  <c:v>53084.76</c:v>
                </c:pt>
                <c:pt idx="101">
                  <c:v>63101.59</c:v>
                </c:pt>
                <c:pt idx="102">
                  <c:v>90084.4</c:v>
                </c:pt>
                <c:pt idx="103">
                  <c:v>32266.639999999999</c:v>
                </c:pt>
                <c:pt idx="104">
                  <c:v>57919.07</c:v>
                </c:pt>
                <c:pt idx="105">
                  <c:v>74679.350000000006</c:v>
                </c:pt>
                <c:pt idx="106">
                  <c:v>64294.23</c:v>
                </c:pt>
                <c:pt idx="107">
                  <c:v>31042.03</c:v>
                </c:pt>
                <c:pt idx="108">
                  <c:v>75265.02</c:v>
                </c:pt>
                <c:pt idx="109">
                  <c:v>69411.7</c:v>
                </c:pt>
                <c:pt idx="110">
                  <c:v>51056.15</c:v>
                </c:pt>
                <c:pt idx="111">
                  <c:v>52758.01</c:v>
                </c:pt>
                <c:pt idx="112">
                  <c:v>61426.04</c:v>
                </c:pt>
                <c:pt idx="113">
                  <c:v>80176.34</c:v>
                </c:pt>
                <c:pt idx="114">
                  <c:v>33605.18</c:v>
                </c:pt>
                <c:pt idx="115">
                  <c:v>25990.54</c:v>
                </c:pt>
                <c:pt idx="116">
                  <c:v>43685.14</c:v>
                </c:pt>
                <c:pt idx="117">
                  <c:v>57360.01</c:v>
                </c:pt>
                <c:pt idx="118">
                  <c:v>42415.47</c:v>
                </c:pt>
                <c:pt idx="119">
                  <c:v>54968.98</c:v>
                </c:pt>
                <c:pt idx="120">
                  <c:v>43896.13</c:v>
                </c:pt>
                <c:pt idx="121">
                  <c:v>83044.17</c:v>
                </c:pt>
                <c:pt idx="122">
                  <c:v>48396.13</c:v>
                </c:pt>
                <c:pt idx="123">
                  <c:v>19063.48</c:v>
                </c:pt>
                <c:pt idx="124">
                  <c:v>61541.21</c:v>
                </c:pt>
                <c:pt idx="125">
                  <c:v>44747</c:v>
                </c:pt>
                <c:pt idx="126">
                  <c:v>56517.9</c:v>
                </c:pt>
                <c:pt idx="127">
                  <c:v>37828.5</c:v>
                </c:pt>
                <c:pt idx="128">
                  <c:v>66250.53</c:v>
                </c:pt>
                <c:pt idx="129">
                  <c:v>68410.929999999993</c:v>
                </c:pt>
                <c:pt idx="130">
                  <c:v>50735.63</c:v>
                </c:pt>
                <c:pt idx="131">
                  <c:v>66455.8</c:v>
                </c:pt>
                <c:pt idx="132">
                  <c:v>70276.28</c:v>
                </c:pt>
                <c:pt idx="133">
                  <c:v>22071.64</c:v>
                </c:pt>
                <c:pt idx="134">
                  <c:v>52285.45</c:v>
                </c:pt>
                <c:pt idx="135">
                  <c:v>70366.759999999995</c:v>
                </c:pt>
                <c:pt idx="136">
                  <c:v>71320.66</c:v>
                </c:pt>
                <c:pt idx="137">
                  <c:v>75109.67</c:v>
                </c:pt>
                <c:pt idx="138">
                  <c:v>69779</c:v>
                </c:pt>
                <c:pt idx="139">
                  <c:v>44211.95</c:v>
                </c:pt>
                <c:pt idx="140">
                  <c:v>51430.31</c:v>
                </c:pt>
                <c:pt idx="141">
                  <c:v>45706.49</c:v>
                </c:pt>
                <c:pt idx="142">
                  <c:v>44034.6</c:v>
                </c:pt>
                <c:pt idx="143">
                  <c:v>50198.12</c:v>
                </c:pt>
                <c:pt idx="144">
                  <c:v>70488.2</c:v>
                </c:pt>
                <c:pt idx="145">
                  <c:v>50909.27</c:v>
                </c:pt>
                <c:pt idx="146">
                  <c:v>53351.7</c:v>
                </c:pt>
                <c:pt idx="147">
                  <c:v>60322.400000000001</c:v>
                </c:pt>
                <c:pt idx="148">
                  <c:v>51575.68</c:v>
                </c:pt>
                <c:pt idx="149">
                  <c:v>43319.94</c:v>
                </c:pt>
                <c:pt idx="150">
                  <c:v>47093.55</c:v>
                </c:pt>
                <c:pt idx="151">
                  <c:v>71855.09</c:v>
                </c:pt>
                <c:pt idx="152">
                  <c:v>75645.23</c:v>
                </c:pt>
                <c:pt idx="153">
                  <c:v>64374.75</c:v>
                </c:pt>
                <c:pt idx="154">
                  <c:v>61433.84</c:v>
                </c:pt>
                <c:pt idx="155">
                  <c:v>42698.14</c:v>
                </c:pt>
                <c:pt idx="156">
                  <c:v>86883.31</c:v>
                </c:pt>
                <c:pt idx="157">
                  <c:v>41863.08</c:v>
                </c:pt>
                <c:pt idx="158">
                  <c:v>56918.16</c:v>
                </c:pt>
                <c:pt idx="159">
                  <c:v>23254.57</c:v>
                </c:pt>
                <c:pt idx="160">
                  <c:v>41443.410000000003</c:v>
                </c:pt>
                <c:pt idx="161">
                  <c:v>48438.85</c:v>
                </c:pt>
                <c:pt idx="162">
                  <c:v>57143.3</c:v>
                </c:pt>
                <c:pt idx="163">
                  <c:v>66870.62</c:v>
                </c:pt>
                <c:pt idx="164">
                  <c:v>72150.53</c:v>
                </c:pt>
                <c:pt idx="165">
                  <c:v>35303.300000000003</c:v>
                </c:pt>
                <c:pt idx="166">
                  <c:v>30301.86</c:v>
                </c:pt>
                <c:pt idx="167">
                  <c:v>78432.14</c:v>
                </c:pt>
                <c:pt idx="168">
                  <c:v>62059.18</c:v>
                </c:pt>
                <c:pt idx="169">
                  <c:v>32834.480000000003</c:v>
                </c:pt>
                <c:pt idx="170">
                  <c:v>50825.08</c:v>
                </c:pt>
                <c:pt idx="171">
                  <c:v>36606.51</c:v>
                </c:pt>
                <c:pt idx="172">
                  <c:v>65237.79</c:v>
                </c:pt>
                <c:pt idx="173">
                  <c:v>43645.98</c:v>
                </c:pt>
                <c:pt idx="174">
                  <c:v>68040.149999999994</c:v>
                </c:pt>
                <c:pt idx="175">
                  <c:v>63043.94</c:v>
                </c:pt>
                <c:pt idx="176">
                  <c:v>67494.09</c:v>
                </c:pt>
                <c:pt idx="177">
                  <c:v>29389.32</c:v>
                </c:pt>
                <c:pt idx="178">
                  <c:v>40535.089999999997</c:v>
                </c:pt>
                <c:pt idx="179">
                  <c:v>74881.56</c:v>
                </c:pt>
                <c:pt idx="180">
                  <c:v>68491.11</c:v>
                </c:pt>
                <c:pt idx="181">
                  <c:v>45209.25</c:v>
                </c:pt>
                <c:pt idx="182">
                  <c:v>63010.23</c:v>
                </c:pt>
                <c:pt idx="183">
                  <c:v>57948.88</c:v>
                </c:pt>
                <c:pt idx="184">
                  <c:v>71941.62</c:v>
                </c:pt>
                <c:pt idx="185">
                  <c:v>57147.88</c:v>
                </c:pt>
                <c:pt idx="186">
                  <c:v>48031.74</c:v>
                </c:pt>
                <c:pt idx="187">
                  <c:v>72784.800000000003</c:v>
                </c:pt>
                <c:pt idx="188">
                  <c:v>71641.899999999994</c:v>
                </c:pt>
                <c:pt idx="189">
                  <c:v>55788.61</c:v>
                </c:pt>
                <c:pt idx="190">
                  <c:v>37705.879999999997</c:v>
                </c:pt>
                <c:pt idx="191">
                  <c:v>54966.18</c:v>
                </c:pt>
                <c:pt idx="192">
                  <c:v>81796.740000000005</c:v>
                </c:pt>
                <c:pt idx="193">
                  <c:v>51133.43</c:v>
                </c:pt>
                <c:pt idx="194">
                  <c:v>40220.18</c:v>
                </c:pt>
                <c:pt idx="195">
                  <c:v>41657.64</c:v>
                </c:pt>
                <c:pt idx="196">
                  <c:v>71851.45</c:v>
                </c:pt>
                <c:pt idx="197">
                  <c:v>54002.83</c:v>
                </c:pt>
                <c:pt idx="198">
                  <c:v>54479.33</c:v>
                </c:pt>
                <c:pt idx="199">
                  <c:v>61391.8</c:v>
                </c:pt>
                <c:pt idx="200">
                  <c:v>22312.93</c:v>
                </c:pt>
                <c:pt idx="201">
                  <c:v>78111.97</c:v>
                </c:pt>
                <c:pt idx="202">
                  <c:v>35203.230000000003</c:v>
                </c:pt>
                <c:pt idx="203">
                  <c:v>64104.28</c:v>
                </c:pt>
                <c:pt idx="204">
                  <c:v>92090.14</c:v>
                </c:pt>
                <c:pt idx="205">
                  <c:v>54300.87</c:v>
                </c:pt>
                <c:pt idx="206">
                  <c:v>37983.35</c:v>
                </c:pt>
                <c:pt idx="207">
                  <c:v>56413.83</c:v>
                </c:pt>
                <c:pt idx="208">
                  <c:v>63457.19</c:v>
                </c:pt>
                <c:pt idx="209">
                  <c:v>62949.7</c:v>
                </c:pt>
                <c:pt idx="210">
                  <c:v>107970.19</c:v>
                </c:pt>
                <c:pt idx="211">
                  <c:v>49405.75</c:v>
                </c:pt>
                <c:pt idx="212">
                  <c:v>50887.46</c:v>
                </c:pt>
                <c:pt idx="213">
                  <c:v>41819.449999999997</c:v>
                </c:pt>
                <c:pt idx="214">
                  <c:v>35296.54</c:v>
                </c:pt>
                <c:pt idx="215">
                  <c:v>47391.09</c:v>
                </c:pt>
                <c:pt idx="216">
                  <c:v>69180.539999999994</c:v>
                </c:pt>
                <c:pt idx="217">
                  <c:v>33987.33</c:v>
                </c:pt>
                <c:pt idx="218">
                  <c:v>58785.33</c:v>
                </c:pt>
                <c:pt idx="219">
                  <c:v>16451.849999999999</c:v>
                </c:pt>
                <c:pt idx="220">
                  <c:v>53367.73</c:v>
                </c:pt>
                <c:pt idx="221">
                  <c:v>27194.639999999999</c:v>
                </c:pt>
                <c:pt idx="222">
                  <c:v>66962.740000000005</c:v>
                </c:pt>
                <c:pt idx="223">
                  <c:v>73540.990000000005</c:v>
                </c:pt>
                <c:pt idx="224">
                  <c:v>68212.289999999994</c:v>
                </c:pt>
                <c:pt idx="225">
                  <c:v>57225.98</c:v>
                </c:pt>
                <c:pt idx="226">
                  <c:v>42932.02</c:v>
                </c:pt>
                <c:pt idx="227">
                  <c:v>39341.449999999997</c:v>
                </c:pt>
                <c:pt idx="228">
                  <c:v>37324.230000000003</c:v>
                </c:pt>
                <c:pt idx="229">
                  <c:v>113736</c:v>
                </c:pt>
                <c:pt idx="230">
                  <c:v>33173.949999999997</c:v>
                </c:pt>
                <c:pt idx="231">
                  <c:v>25818.080000000002</c:v>
                </c:pt>
                <c:pt idx="232">
                  <c:v>47241.919999999998</c:v>
                </c:pt>
                <c:pt idx="233">
                  <c:v>61650.79</c:v>
                </c:pt>
                <c:pt idx="234">
                  <c:v>62582.71</c:v>
                </c:pt>
                <c:pt idx="235">
                  <c:v>47944.14</c:v>
                </c:pt>
                <c:pt idx="236">
                  <c:v>46495.4</c:v>
                </c:pt>
                <c:pt idx="237">
                  <c:v>72961.95</c:v>
                </c:pt>
                <c:pt idx="238">
                  <c:v>59060.05</c:v>
                </c:pt>
                <c:pt idx="239">
                  <c:v>26248.1</c:v>
                </c:pt>
                <c:pt idx="240">
                  <c:v>69900.12</c:v>
                </c:pt>
                <c:pt idx="241">
                  <c:v>51781.599999999999</c:v>
                </c:pt>
                <c:pt idx="242">
                  <c:v>70799.64</c:v>
                </c:pt>
                <c:pt idx="243">
                  <c:v>53546.34</c:v>
                </c:pt>
                <c:pt idx="244">
                  <c:v>76942.2</c:v>
                </c:pt>
                <c:pt idx="245">
                  <c:v>48060.78</c:v>
                </c:pt>
                <c:pt idx="246">
                  <c:v>57390.04</c:v>
                </c:pt>
                <c:pt idx="247">
                  <c:v>21536.18</c:v>
                </c:pt>
                <c:pt idx="248">
                  <c:v>40923.67</c:v>
                </c:pt>
                <c:pt idx="249">
                  <c:v>72932.55</c:v>
                </c:pt>
                <c:pt idx="250">
                  <c:v>38361.93</c:v>
                </c:pt>
                <c:pt idx="251">
                  <c:v>97480.94</c:v>
                </c:pt>
                <c:pt idx="252">
                  <c:v>81801.8</c:v>
                </c:pt>
                <c:pt idx="253">
                  <c:v>63582.11</c:v>
                </c:pt>
                <c:pt idx="254">
                  <c:v>75412.740000000005</c:v>
                </c:pt>
                <c:pt idx="255">
                  <c:v>36290.080000000002</c:v>
                </c:pt>
                <c:pt idx="256">
                  <c:v>65272.58</c:v>
                </c:pt>
                <c:pt idx="257">
                  <c:v>28670.43</c:v>
                </c:pt>
                <c:pt idx="258">
                  <c:v>44189.34</c:v>
                </c:pt>
                <c:pt idx="259">
                  <c:v>38397.82</c:v>
                </c:pt>
                <c:pt idx="260">
                  <c:v>14519.37</c:v>
                </c:pt>
                <c:pt idx="261">
                  <c:v>43288.2</c:v>
                </c:pt>
                <c:pt idx="262">
                  <c:v>51450.55</c:v>
                </c:pt>
                <c:pt idx="263">
                  <c:v>58688.26</c:v>
                </c:pt>
                <c:pt idx="264">
                  <c:v>58981.91</c:v>
                </c:pt>
                <c:pt idx="265">
                  <c:v>73454.539999999994</c:v>
                </c:pt>
                <c:pt idx="266">
                  <c:v>56602.39</c:v>
                </c:pt>
                <c:pt idx="267">
                  <c:v>67722.289999999994</c:v>
                </c:pt>
                <c:pt idx="268">
                  <c:v>48752.92</c:v>
                </c:pt>
                <c:pt idx="269">
                  <c:v>23914.97</c:v>
                </c:pt>
                <c:pt idx="270">
                  <c:v>61995.3</c:v>
                </c:pt>
                <c:pt idx="271">
                  <c:v>29344.93</c:v>
                </c:pt>
                <c:pt idx="272">
                  <c:v>50532.17</c:v>
                </c:pt>
                <c:pt idx="273">
                  <c:v>17562.57</c:v>
                </c:pt>
                <c:pt idx="274">
                  <c:v>47648.71</c:v>
                </c:pt>
                <c:pt idx="275">
                  <c:v>38297.58</c:v>
                </c:pt>
                <c:pt idx="276">
                  <c:v>61784.11</c:v>
                </c:pt>
                <c:pt idx="277">
                  <c:v>36832.33</c:v>
                </c:pt>
                <c:pt idx="278">
                  <c:v>48609.41</c:v>
                </c:pt>
                <c:pt idx="279">
                  <c:v>70284.06</c:v>
                </c:pt>
                <c:pt idx="280">
                  <c:v>45940.39</c:v>
                </c:pt>
                <c:pt idx="281">
                  <c:v>34771.26</c:v>
                </c:pt>
                <c:pt idx="282">
                  <c:v>66104.19</c:v>
                </c:pt>
                <c:pt idx="283">
                  <c:v>18599.21</c:v>
                </c:pt>
                <c:pt idx="284">
                  <c:v>60183.06</c:v>
                </c:pt>
                <c:pt idx="285">
                  <c:v>74539.14</c:v>
                </c:pt>
                <c:pt idx="286">
                  <c:v>55371.97</c:v>
                </c:pt>
                <c:pt idx="287">
                  <c:v>40928.69</c:v>
                </c:pt>
                <c:pt idx="288">
                  <c:v>70012.41</c:v>
                </c:pt>
                <c:pt idx="289">
                  <c:v>68909.259999999995</c:v>
                </c:pt>
                <c:pt idx="290">
                  <c:v>56737.3</c:v>
                </c:pt>
                <c:pt idx="291">
                  <c:v>54080.91</c:v>
                </c:pt>
                <c:pt idx="292">
                  <c:v>51996.32</c:v>
                </c:pt>
                <c:pt idx="293">
                  <c:v>40102.879999999997</c:v>
                </c:pt>
                <c:pt idx="294">
                  <c:v>59825.51</c:v>
                </c:pt>
                <c:pt idx="295">
                  <c:v>27398.28</c:v>
                </c:pt>
                <c:pt idx="296">
                  <c:v>55599.56</c:v>
                </c:pt>
                <c:pt idx="297">
                  <c:v>55477.61</c:v>
                </c:pt>
                <c:pt idx="298">
                  <c:v>46174.7</c:v>
                </c:pt>
                <c:pt idx="299">
                  <c:v>24362.98</c:v>
                </c:pt>
                <c:pt idx="300">
                  <c:v>40647.67</c:v>
                </c:pt>
                <c:pt idx="301">
                  <c:v>63986.98</c:v>
                </c:pt>
                <c:pt idx="302">
                  <c:v>52843.75</c:v>
                </c:pt>
                <c:pt idx="303">
                  <c:v>31997.25</c:v>
                </c:pt>
                <c:pt idx="304">
                  <c:v>54948.02</c:v>
                </c:pt>
                <c:pt idx="305">
                  <c:v>46146.239999999998</c:v>
                </c:pt>
                <c:pt idx="306">
                  <c:v>22387.26</c:v>
                </c:pt>
                <c:pt idx="307">
                  <c:v>60684.05</c:v>
                </c:pt>
                <c:pt idx="308">
                  <c:v>48465.599999999999</c:v>
                </c:pt>
                <c:pt idx="309">
                  <c:v>23702.38</c:v>
                </c:pt>
                <c:pt idx="310">
                  <c:v>54322.94</c:v>
                </c:pt>
                <c:pt idx="311">
                  <c:v>86026.58</c:v>
                </c:pt>
                <c:pt idx="312">
                  <c:v>78967.520000000004</c:v>
                </c:pt>
                <c:pt idx="313">
                  <c:v>46767.99</c:v>
                </c:pt>
                <c:pt idx="314">
                  <c:v>62507.16</c:v>
                </c:pt>
                <c:pt idx="315">
                  <c:v>66456.28</c:v>
                </c:pt>
                <c:pt idx="316">
                  <c:v>76614.320000000007</c:v>
                </c:pt>
                <c:pt idx="317">
                  <c:v>24088.06</c:v>
                </c:pt>
                <c:pt idx="318">
                  <c:v>81902.58</c:v>
                </c:pt>
                <c:pt idx="319">
                  <c:v>40553.11</c:v>
                </c:pt>
              </c:numCache>
            </c:numRef>
          </c:xVal>
          <c:yVal>
            <c:numRef>
              <c:f>store_performance!$P$2:$P$321</c:f>
              <c:numCache>
                <c:formatCode>General</c:formatCode>
                <c:ptCount val="320"/>
                <c:pt idx="0">
                  <c:v>658832.62</c:v>
                </c:pt>
                <c:pt idx="1">
                  <c:v>634436</c:v>
                </c:pt>
                <c:pt idx="2">
                  <c:v>678722.06</c:v>
                </c:pt>
                <c:pt idx="3">
                  <c:v>658920.30000000005</c:v>
                </c:pt>
                <c:pt idx="4">
                  <c:v>741341.44</c:v>
                </c:pt>
                <c:pt idx="5">
                  <c:v>761835.34</c:v>
                </c:pt>
                <c:pt idx="6">
                  <c:v>806615.54</c:v>
                </c:pt>
                <c:pt idx="7">
                  <c:v>850164.26</c:v>
                </c:pt>
                <c:pt idx="8">
                  <c:v>930581.7</c:v>
                </c:pt>
                <c:pt idx="9">
                  <c:v>779010.94</c:v>
                </c:pt>
                <c:pt idx="10">
                  <c:v>723060.76</c:v>
                </c:pt>
                <c:pt idx="11">
                  <c:v>910791.94</c:v>
                </c:pt>
                <c:pt idx="12">
                  <c:v>922168.6</c:v>
                </c:pt>
                <c:pt idx="13">
                  <c:v>726606.28</c:v>
                </c:pt>
                <c:pt idx="14">
                  <c:v>746501.09</c:v>
                </c:pt>
                <c:pt idx="15">
                  <c:v>834017.02</c:v>
                </c:pt>
                <c:pt idx="16">
                  <c:v>666152.52</c:v>
                </c:pt>
                <c:pt idx="17">
                  <c:v>573155.18999999994</c:v>
                </c:pt>
                <c:pt idx="18">
                  <c:v>666573.19999999995</c:v>
                </c:pt>
                <c:pt idx="19">
                  <c:v>591619.94999999995</c:v>
                </c:pt>
                <c:pt idx="20">
                  <c:v>415721.82</c:v>
                </c:pt>
                <c:pt idx="21">
                  <c:v>491905.13</c:v>
                </c:pt>
                <c:pt idx="22">
                  <c:v>555929.4</c:v>
                </c:pt>
                <c:pt idx="23">
                  <c:v>565810.99</c:v>
                </c:pt>
                <c:pt idx="24">
                  <c:v>811771.14</c:v>
                </c:pt>
                <c:pt idx="25">
                  <c:v>800451.94</c:v>
                </c:pt>
                <c:pt idx="26">
                  <c:v>783672.82</c:v>
                </c:pt>
                <c:pt idx="27">
                  <c:v>701641.97</c:v>
                </c:pt>
                <c:pt idx="28">
                  <c:v>511844.41</c:v>
                </c:pt>
                <c:pt idx="29">
                  <c:v>537383.79</c:v>
                </c:pt>
                <c:pt idx="30">
                  <c:v>500173.02</c:v>
                </c:pt>
                <c:pt idx="31">
                  <c:v>427917.38</c:v>
                </c:pt>
                <c:pt idx="32">
                  <c:v>641865.03</c:v>
                </c:pt>
                <c:pt idx="33">
                  <c:v>799477.76000000001</c:v>
                </c:pt>
                <c:pt idx="34">
                  <c:v>798952.17</c:v>
                </c:pt>
                <c:pt idx="35">
                  <c:v>800979.78</c:v>
                </c:pt>
                <c:pt idx="36">
                  <c:v>820593.93</c:v>
                </c:pt>
                <c:pt idx="37">
                  <c:v>718330.53</c:v>
                </c:pt>
                <c:pt idx="38">
                  <c:v>736633.4</c:v>
                </c:pt>
                <c:pt idx="39">
                  <c:v>828623.85</c:v>
                </c:pt>
                <c:pt idx="40">
                  <c:v>592195.85</c:v>
                </c:pt>
                <c:pt idx="41">
                  <c:v>532644.46</c:v>
                </c:pt>
                <c:pt idx="42">
                  <c:v>657429.18000000005</c:v>
                </c:pt>
                <c:pt idx="43">
                  <c:v>605178</c:v>
                </c:pt>
                <c:pt idx="44">
                  <c:v>595467.6</c:v>
                </c:pt>
                <c:pt idx="45">
                  <c:v>599603.4</c:v>
                </c:pt>
                <c:pt idx="46">
                  <c:v>614800.09</c:v>
                </c:pt>
                <c:pt idx="47">
                  <c:v>585365.73</c:v>
                </c:pt>
                <c:pt idx="48">
                  <c:v>622811.74</c:v>
                </c:pt>
                <c:pt idx="49">
                  <c:v>603297.56999999995</c:v>
                </c:pt>
                <c:pt idx="50">
                  <c:v>625672.86</c:v>
                </c:pt>
                <c:pt idx="51">
                  <c:v>773815.14</c:v>
                </c:pt>
                <c:pt idx="52">
                  <c:v>463534.25</c:v>
                </c:pt>
                <c:pt idx="53">
                  <c:v>746677.75</c:v>
                </c:pt>
                <c:pt idx="54">
                  <c:v>720852.5</c:v>
                </c:pt>
                <c:pt idx="55">
                  <c:v>487464.91</c:v>
                </c:pt>
                <c:pt idx="56">
                  <c:v>518049.26</c:v>
                </c:pt>
                <c:pt idx="57">
                  <c:v>500298.48</c:v>
                </c:pt>
                <c:pt idx="58">
                  <c:v>617291.15</c:v>
                </c:pt>
                <c:pt idx="59">
                  <c:v>553756.43000000005</c:v>
                </c:pt>
                <c:pt idx="60">
                  <c:v>749559.71</c:v>
                </c:pt>
                <c:pt idx="61">
                  <c:v>615966.48</c:v>
                </c:pt>
                <c:pt idx="62">
                  <c:v>572011.19999999995</c:v>
                </c:pt>
                <c:pt idx="63">
                  <c:v>761860.19</c:v>
                </c:pt>
                <c:pt idx="64">
                  <c:v>784502.68</c:v>
                </c:pt>
                <c:pt idx="65">
                  <c:v>717141.55</c:v>
                </c:pt>
                <c:pt idx="66">
                  <c:v>685379.08</c:v>
                </c:pt>
                <c:pt idx="67">
                  <c:v>740496.65</c:v>
                </c:pt>
                <c:pt idx="68">
                  <c:v>661927.14</c:v>
                </c:pt>
                <c:pt idx="69">
                  <c:v>479050.5</c:v>
                </c:pt>
                <c:pt idx="70">
                  <c:v>605023.87</c:v>
                </c:pt>
                <c:pt idx="71">
                  <c:v>674774.09</c:v>
                </c:pt>
                <c:pt idx="72">
                  <c:v>616069.41</c:v>
                </c:pt>
                <c:pt idx="73">
                  <c:v>630829.93999999994</c:v>
                </c:pt>
                <c:pt idx="74">
                  <c:v>788087.68</c:v>
                </c:pt>
                <c:pt idx="75">
                  <c:v>680840.36</c:v>
                </c:pt>
                <c:pt idx="76">
                  <c:v>643657.47</c:v>
                </c:pt>
                <c:pt idx="77">
                  <c:v>691112.6</c:v>
                </c:pt>
                <c:pt idx="78">
                  <c:v>776922.17</c:v>
                </c:pt>
                <c:pt idx="79">
                  <c:v>636561.34</c:v>
                </c:pt>
                <c:pt idx="80">
                  <c:v>621369.57999999996</c:v>
                </c:pt>
                <c:pt idx="81">
                  <c:v>682208.01</c:v>
                </c:pt>
                <c:pt idx="82">
                  <c:v>727241.86</c:v>
                </c:pt>
                <c:pt idx="83">
                  <c:v>569100.78</c:v>
                </c:pt>
                <c:pt idx="84">
                  <c:v>574436.29</c:v>
                </c:pt>
                <c:pt idx="85">
                  <c:v>611766.72</c:v>
                </c:pt>
                <c:pt idx="86">
                  <c:v>614596.31999999995</c:v>
                </c:pt>
                <c:pt idx="87">
                  <c:v>450711.92</c:v>
                </c:pt>
                <c:pt idx="88">
                  <c:v>711213.46</c:v>
                </c:pt>
                <c:pt idx="89">
                  <c:v>627171.9</c:v>
                </c:pt>
                <c:pt idx="90">
                  <c:v>739852.58</c:v>
                </c:pt>
                <c:pt idx="91">
                  <c:v>586307.22</c:v>
                </c:pt>
                <c:pt idx="92">
                  <c:v>585937.48</c:v>
                </c:pt>
                <c:pt idx="93">
                  <c:v>753473.55</c:v>
                </c:pt>
                <c:pt idx="94">
                  <c:v>838250.32</c:v>
                </c:pt>
                <c:pt idx="95">
                  <c:v>607898.12</c:v>
                </c:pt>
                <c:pt idx="96">
                  <c:v>691113.62</c:v>
                </c:pt>
                <c:pt idx="97">
                  <c:v>735509.4</c:v>
                </c:pt>
                <c:pt idx="98">
                  <c:v>605775.32999999996</c:v>
                </c:pt>
                <c:pt idx="99">
                  <c:v>675177.68</c:v>
                </c:pt>
                <c:pt idx="100">
                  <c:v>635181.35</c:v>
                </c:pt>
                <c:pt idx="101">
                  <c:v>586626.93999999994</c:v>
                </c:pt>
                <c:pt idx="102">
                  <c:v>740102.64</c:v>
                </c:pt>
                <c:pt idx="103">
                  <c:v>625514.04</c:v>
                </c:pt>
                <c:pt idx="104">
                  <c:v>727227.2</c:v>
                </c:pt>
                <c:pt idx="105">
                  <c:v>783797.89</c:v>
                </c:pt>
                <c:pt idx="106">
                  <c:v>795153.84</c:v>
                </c:pt>
                <c:pt idx="107">
                  <c:v>665594.93999999994</c:v>
                </c:pt>
                <c:pt idx="108">
                  <c:v>709478.39</c:v>
                </c:pt>
                <c:pt idx="109">
                  <c:v>664162.49</c:v>
                </c:pt>
                <c:pt idx="110">
                  <c:v>633494.21</c:v>
                </c:pt>
                <c:pt idx="111">
                  <c:v>713611.16</c:v>
                </c:pt>
                <c:pt idx="112">
                  <c:v>778397.97</c:v>
                </c:pt>
                <c:pt idx="113">
                  <c:v>873380.02</c:v>
                </c:pt>
                <c:pt idx="114">
                  <c:v>697287.9</c:v>
                </c:pt>
                <c:pt idx="115">
                  <c:v>718074.79</c:v>
                </c:pt>
                <c:pt idx="116">
                  <c:v>714942.43</c:v>
                </c:pt>
                <c:pt idx="117">
                  <c:v>820519.04</c:v>
                </c:pt>
                <c:pt idx="118">
                  <c:v>684217.32</c:v>
                </c:pt>
                <c:pt idx="119">
                  <c:v>735480.19</c:v>
                </c:pt>
                <c:pt idx="120">
                  <c:v>509484.81</c:v>
                </c:pt>
                <c:pt idx="121">
                  <c:v>654317.09</c:v>
                </c:pt>
                <c:pt idx="122">
                  <c:v>557487.26</c:v>
                </c:pt>
                <c:pt idx="123">
                  <c:v>441275.42</c:v>
                </c:pt>
                <c:pt idx="124">
                  <c:v>914544.17</c:v>
                </c:pt>
                <c:pt idx="125">
                  <c:v>842439.67</c:v>
                </c:pt>
                <c:pt idx="126">
                  <c:v>842157.92</c:v>
                </c:pt>
                <c:pt idx="127">
                  <c:v>697155.3</c:v>
                </c:pt>
                <c:pt idx="128">
                  <c:v>849018.3</c:v>
                </c:pt>
                <c:pt idx="129">
                  <c:v>801830.35</c:v>
                </c:pt>
                <c:pt idx="130">
                  <c:v>725235.28</c:v>
                </c:pt>
                <c:pt idx="131">
                  <c:v>811452.72</c:v>
                </c:pt>
                <c:pt idx="132">
                  <c:v>527300.13</c:v>
                </c:pt>
                <c:pt idx="133">
                  <c:v>400831.65</c:v>
                </c:pt>
                <c:pt idx="134">
                  <c:v>593247.25</c:v>
                </c:pt>
                <c:pt idx="135">
                  <c:v>529075.94999999995</c:v>
                </c:pt>
                <c:pt idx="136">
                  <c:v>633638.03</c:v>
                </c:pt>
                <c:pt idx="137">
                  <c:v>743348.84</c:v>
                </c:pt>
                <c:pt idx="138">
                  <c:v>758827.64</c:v>
                </c:pt>
                <c:pt idx="139">
                  <c:v>646559.71</c:v>
                </c:pt>
                <c:pt idx="140">
                  <c:v>715890.53</c:v>
                </c:pt>
                <c:pt idx="141">
                  <c:v>715097.57</c:v>
                </c:pt>
                <c:pt idx="142">
                  <c:v>682639.28</c:v>
                </c:pt>
                <c:pt idx="143">
                  <c:v>695098.51</c:v>
                </c:pt>
                <c:pt idx="144">
                  <c:v>577732.56999999995</c:v>
                </c:pt>
                <c:pt idx="145">
                  <c:v>537058.32999999996</c:v>
                </c:pt>
                <c:pt idx="146">
                  <c:v>601568.87</c:v>
                </c:pt>
                <c:pt idx="147">
                  <c:v>570964.84</c:v>
                </c:pt>
                <c:pt idx="148">
                  <c:v>614024.91</c:v>
                </c:pt>
                <c:pt idx="149">
                  <c:v>712868.35</c:v>
                </c:pt>
                <c:pt idx="150">
                  <c:v>696744.15</c:v>
                </c:pt>
                <c:pt idx="151">
                  <c:v>725847.99</c:v>
                </c:pt>
                <c:pt idx="152">
                  <c:v>785028.25</c:v>
                </c:pt>
                <c:pt idx="153">
                  <c:v>698492.67</c:v>
                </c:pt>
                <c:pt idx="154">
                  <c:v>685830.24</c:v>
                </c:pt>
                <c:pt idx="155">
                  <c:v>702318.94</c:v>
                </c:pt>
                <c:pt idx="156">
                  <c:v>700078.32</c:v>
                </c:pt>
                <c:pt idx="157">
                  <c:v>602002.31999999995</c:v>
                </c:pt>
                <c:pt idx="158">
                  <c:v>724216.07</c:v>
                </c:pt>
                <c:pt idx="159">
                  <c:v>620973.03</c:v>
                </c:pt>
                <c:pt idx="160">
                  <c:v>650480.06000000006</c:v>
                </c:pt>
                <c:pt idx="161">
                  <c:v>778298.88</c:v>
                </c:pt>
                <c:pt idx="162">
                  <c:v>677096.71</c:v>
                </c:pt>
                <c:pt idx="163">
                  <c:v>692008.64</c:v>
                </c:pt>
                <c:pt idx="164">
                  <c:v>825797.91</c:v>
                </c:pt>
                <c:pt idx="165">
                  <c:v>706285.52</c:v>
                </c:pt>
                <c:pt idx="166">
                  <c:v>665534.69999999995</c:v>
                </c:pt>
                <c:pt idx="167">
                  <c:v>820729.29</c:v>
                </c:pt>
                <c:pt idx="168">
                  <c:v>739831.73</c:v>
                </c:pt>
                <c:pt idx="169">
                  <c:v>593637.14</c:v>
                </c:pt>
                <c:pt idx="170">
                  <c:v>769702.76</c:v>
                </c:pt>
                <c:pt idx="171">
                  <c:v>679731.57</c:v>
                </c:pt>
                <c:pt idx="172">
                  <c:v>780344.18</c:v>
                </c:pt>
                <c:pt idx="173">
                  <c:v>721364.11</c:v>
                </c:pt>
                <c:pt idx="174">
                  <c:v>758138.29</c:v>
                </c:pt>
                <c:pt idx="175">
                  <c:v>804264</c:v>
                </c:pt>
                <c:pt idx="176">
                  <c:v>887537.75</c:v>
                </c:pt>
                <c:pt idx="177">
                  <c:v>783582</c:v>
                </c:pt>
                <c:pt idx="178">
                  <c:v>781955.52</c:v>
                </c:pt>
                <c:pt idx="179">
                  <c:v>898031.04</c:v>
                </c:pt>
                <c:pt idx="180">
                  <c:v>855341.28</c:v>
                </c:pt>
                <c:pt idx="181">
                  <c:v>751393.88</c:v>
                </c:pt>
                <c:pt idx="182">
                  <c:v>761077.08</c:v>
                </c:pt>
                <c:pt idx="183">
                  <c:v>819660.59</c:v>
                </c:pt>
                <c:pt idx="184">
                  <c:v>681855.56</c:v>
                </c:pt>
                <c:pt idx="185">
                  <c:v>678311.17</c:v>
                </c:pt>
                <c:pt idx="186">
                  <c:v>765906.95</c:v>
                </c:pt>
                <c:pt idx="187">
                  <c:v>712546.38</c:v>
                </c:pt>
                <c:pt idx="188">
                  <c:v>625993.82999999996</c:v>
                </c:pt>
                <c:pt idx="189">
                  <c:v>550962.93000000005</c:v>
                </c:pt>
                <c:pt idx="190">
                  <c:v>443275.59</c:v>
                </c:pt>
                <c:pt idx="191">
                  <c:v>554012.06999999995</c:v>
                </c:pt>
                <c:pt idx="192">
                  <c:v>643428.85</c:v>
                </c:pt>
                <c:pt idx="193">
                  <c:v>611924.27</c:v>
                </c:pt>
                <c:pt idx="194">
                  <c:v>559422.02</c:v>
                </c:pt>
                <c:pt idx="195">
                  <c:v>449465.06</c:v>
                </c:pt>
                <c:pt idx="196">
                  <c:v>691447.43</c:v>
                </c:pt>
                <c:pt idx="197">
                  <c:v>574066.61</c:v>
                </c:pt>
                <c:pt idx="198">
                  <c:v>578949.84</c:v>
                </c:pt>
                <c:pt idx="199">
                  <c:v>735786.64</c:v>
                </c:pt>
                <c:pt idx="200">
                  <c:v>598904.9</c:v>
                </c:pt>
                <c:pt idx="201">
                  <c:v>787715.51</c:v>
                </c:pt>
                <c:pt idx="202">
                  <c:v>607084.92000000004</c:v>
                </c:pt>
                <c:pt idx="203">
                  <c:v>650795.49</c:v>
                </c:pt>
                <c:pt idx="204">
                  <c:v>825060.52</c:v>
                </c:pt>
                <c:pt idx="205">
                  <c:v>795464.47</c:v>
                </c:pt>
                <c:pt idx="206">
                  <c:v>671868.59</c:v>
                </c:pt>
                <c:pt idx="207">
                  <c:v>675917.63</c:v>
                </c:pt>
                <c:pt idx="208">
                  <c:v>810446.53</c:v>
                </c:pt>
                <c:pt idx="209">
                  <c:v>691288.19</c:v>
                </c:pt>
                <c:pt idx="210">
                  <c:v>946833.54</c:v>
                </c:pt>
                <c:pt idx="211">
                  <c:v>761963.23</c:v>
                </c:pt>
                <c:pt idx="212">
                  <c:v>812152.6</c:v>
                </c:pt>
                <c:pt idx="213">
                  <c:v>804975.5</c:v>
                </c:pt>
                <c:pt idx="214">
                  <c:v>752321.72</c:v>
                </c:pt>
                <c:pt idx="215">
                  <c:v>836908.24</c:v>
                </c:pt>
                <c:pt idx="216">
                  <c:v>674289.1</c:v>
                </c:pt>
                <c:pt idx="217">
                  <c:v>622892.42000000004</c:v>
                </c:pt>
                <c:pt idx="218">
                  <c:v>673348.56</c:v>
                </c:pt>
                <c:pt idx="219">
                  <c:v>606278.30000000005</c:v>
                </c:pt>
                <c:pt idx="220">
                  <c:v>712219.81</c:v>
                </c:pt>
                <c:pt idx="221">
                  <c:v>672670.54</c:v>
                </c:pt>
                <c:pt idx="222">
                  <c:v>732667.92</c:v>
                </c:pt>
                <c:pt idx="223">
                  <c:v>723531.4</c:v>
                </c:pt>
                <c:pt idx="224">
                  <c:v>641564.6</c:v>
                </c:pt>
                <c:pt idx="225">
                  <c:v>536545.49</c:v>
                </c:pt>
                <c:pt idx="226">
                  <c:v>527681.56000000006</c:v>
                </c:pt>
                <c:pt idx="227">
                  <c:v>529598.93999999994</c:v>
                </c:pt>
                <c:pt idx="228">
                  <c:v>570963.31000000006</c:v>
                </c:pt>
                <c:pt idx="229">
                  <c:v>870937.4</c:v>
                </c:pt>
                <c:pt idx="230">
                  <c:v>596969.27</c:v>
                </c:pt>
                <c:pt idx="231">
                  <c:v>647512.85</c:v>
                </c:pt>
                <c:pt idx="232">
                  <c:v>658072.14</c:v>
                </c:pt>
                <c:pt idx="233">
                  <c:v>723305.11</c:v>
                </c:pt>
                <c:pt idx="234">
                  <c:v>640666.53</c:v>
                </c:pt>
                <c:pt idx="235">
                  <c:v>670629.48</c:v>
                </c:pt>
                <c:pt idx="236">
                  <c:v>721079.35</c:v>
                </c:pt>
                <c:pt idx="237">
                  <c:v>810355.02</c:v>
                </c:pt>
                <c:pt idx="238">
                  <c:v>761919.25</c:v>
                </c:pt>
                <c:pt idx="239">
                  <c:v>737070.18</c:v>
                </c:pt>
                <c:pt idx="240">
                  <c:v>776992.93</c:v>
                </c:pt>
                <c:pt idx="241">
                  <c:v>676337.41</c:v>
                </c:pt>
                <c:pt idx="242">
                  <c:v>828219.67</c:v>
                </c:pt>
                <c:pt idx="243">
                  <c:v>763159.92</c:v>
                </c:pt>
                <c:pt idx="244">
                  <c:v>802001.68</c:v>
                </c:pt>
                <c:pt idx="245">
                  <c:v>750471.34</c:v>
                </c:pt>
                <c:pt idx="246">
                  <c:v>679230.86</c:v>
                </c:pt>
                <c:pt idx="247">
                  <c:v>679888.74</c:v>
                </c:pt>
                <c:pt idx="248">
                  <c:v>606783.67000000004</c:v>
                </c:pt>
                <c:pt idx="249">
                  <c:v>642751.42000000004</c:v>
                </c:pt>
                <c:pt idx="250">
                  <c:v>647953.78</c:v>
                </c:pt>
                <c:pt idx="251">
                  <c:v>729440.45</c:v>
                </c:pt>
                <c:pt idx="252">
                  <c:v>764949</c:v>
                </c:pt>
                <c:pt idx="253">
                  <c:v>799046.94</c:v>
                </c:pt>
                <c:pt idx="254">
                  <c:v>720079.54</c:v>
                </c:pt>
                <c:pt idx="255">
                  <c:v>612390.14</c:v>
                </c:pt>
                <c:pt idx="256">
                  <c:v>840108.12</c:v>
                </c:pt>
                <c:pt idx="257">
                  <c:v>697888.09</c:v>
                </c:pt>
                <c:pt idx="258">
                  <c:v>746115.59</c:v>
                </c:pt>
                <c:pt idx="259">
                  <c:v>776110.32</c:v>
                </c:pt>
                <c:pt idx="260">
                  <c:v>528852.62</c:v>
                </c:pt>
                <c:pt idx="261">
                  <c:v>605751.32999999996</c:v>
                </c:pt>
                <c:pt idx="262">
                  <c:v>677640.65</c:v>
                </c:pt>
                <c:pt idx="263">
                  <c:v>636613.23</c:v>
                </c:pt>
                <c:pt idx="264">
                  <c:v>708985.19</c:v>
                </c:pt>
                <c:pt idx="265">
                  <c:v>767792.94</c:v>
                </c:pt>
                <c:pt idx="266">
                  <c:v>745580.51</c:v>
                </c:pt>
                <c:pt idx="267">
                  <c:v>762328.31</c:v>
                </c:pt>
                <c:pt idx="268">
                  <c:v>660633.99</c:v>
                </c:pt>
                <c:pt idx="269">
                  <c:v>739374.56</c:v>
                </c:pt>
                <c:pt idx="270">
                  <c:v>799756.46</c:v>
                </c:pt>
                <c:pt idx="271">
                  <c:v>593343</c:v>
                </c:pt>
                <c:pt idx="272">
                  <c:v>645039.97</c:v>
                </c:pt>
                <c:pt idx="273">
                  <c:v>561597.32999999996</c:v>
                </c:pt>
                <c:pt idx="274">
                  <c:v>635837.74</c:v>
                </c:pt>
                <c:pt idx="275">
                  <c:v>686737.87</c:v>
                </c:pt>
                <c:pt idx="276">
                  <c:v>673076.34</c:v>
                </c:pt>
                <c:pt idx="277">
                  <c:v>738548.42</c:v>
                </c:pt>
                <c:pt idx="278">
                  <c:v>756619.77</c:v>
                </c:pt>
                <c:pt idx="279">
                  <c:v>761122.42</c:v>
                </c:pt>
                <c:pt idx="280">
                  <c:v>524899.56999999995</c:v>
                </c:pt>
                <c:pt idx="281">
                  <c:v>555557.77</c:v>
                </c:pt>
                <c:pt idx="282">
                  <c:v>714083.68</c:v>
                </c:pt>
                <c:pt idx="283">
                  <c:v>497439.82</c:v>
                </c:pt>
                <c:pt idx="284">
                  <c:v>636775.66</c:v>
                </c:pt>
                <c:pt idx="285">
                  <c:v>633009.53</c:v>
                </c:pt>
                <c:pt idx="286">
                  <c:v>609949</c:v>
                </c:pt>
                <c:pt idx="287">
                  <c:v>548103.69999999995</c:v>
                </c:pt>
                <c:pt idx="288">
                  <c:v>729424.42</c:v>
                </c:pt>
                <c:pt idx="289">
                  <c:v>696261.49</c:v>
                </c:pt>
                <c:pt idx="290">
                  <c:v>813316.71</c:v>
                </c:pt>
                <c:pt idx="291">
                  <c:v>702068.92</c:v>
                </c:pt>
                <c:pt idx="292">
                  <c:v>546223.69999999995</c:v>
                </c:pt>
                <c:pt idx="293">
                  <c:v>533121.26</c:v>
                </c:pt>
                <c:pt idx="294">
                  <c:v>498970.32</c:v>
                </c:pt>
                <c:pt idx="295">
                  <c:v>487738.26</c:v>
                </c:pt>
                <c:pt idx="296">
                  <c:v>668459.37</c:v>
                </c:pt>
                <c:pt idx="297">
                  <c:v>763162.45</c:v>
                </c:pt>
                <c:pt idx="298">
                  <c:v>599017.32999999996</c:v>
                </c:pt>
                <c:pt idx="299">
                  <c:v>401582.58</c:v>
                </c:pt>
                <c:pt idx="300">
                  <c:v>703812.99</c:v>
                </c:pt>
                <c:pt idx="301">
                  <c:v>724346.73</c:v>
                </c:pt>
                <c:pt idx="302">
                  <c:v>730890.01</c:v>
                </c:pt>
                <c:pt idx="303">
                  <c:v>780580.95</c:v>
                </c:pt>
                <c:pt idx="304">
                  <c:v>727957.48</c:v>
                </c:pt>
                <c:pt idx="305">
                  <c:v>538376</c:v>
                </c:pt>
                <c:pt idx="306">
                  <c:v>665342.49</c:v>
                </c:pt>
                <c:pt idx="307">
                  <c:v>651164.18000000005</c:v>
                </c:pt>
                <c:pt idx="308">
                  <c:v>628538.30000000005</c:v>
                </c:pt>
                <c:pt idx="309">
                  <c:v>536524.84</c:v>
                </c:pt>
                <c:pt idx="310">
                  <c:v>621677.30000000005</c:v>
                </c:pt>
                <c:pt idx="311">
                  <c:v>771129.07</c:v>
                </c:pt>
                <c:pt idx="312">
                  <c:v>702052.47</c:v>
                </c:pt>
                <c:pt idx="313">
                  <c:v>688368.46</c:v>
                </c:pt>
                <c:pt idx="314">
                  <c:v>712375.77</c:v>
                </c:pt>
                <c:pt idx="315">
                  <c:v>844710.67</c:v>
                </c:pt>
                <c:pt idx="316">
                  <c:v>620264.19999999995</c:v>
                </c:pt>
                <c:pt idx="317">
                  <c:v>536845.42000000004</c:v>
                </c:pt>
                <c:pt idx="318">
                  <c:v>726776.22</c:v>
                </c:pt>
                <c:pt idx="319">
                  <c:v>559660.84</c:v>
                </c:pt>
              </c:numCache>
            </c:numRef>
          </c:yVal>
          <c:smooth val="0"/>
          <c:extLst>
            <c:ext xmlns:c16="http://schemas.microsoft.com/office/drawing/2014/chart" uri="{C3380CC4-5D6E-409C-BE32-E72D297353CC}">
              <c16:uniqueId val="{00000000-84A3-4275-BAFB-784C973DD5ED}"/>
            </c:ext>
          </c:extLst>
        </c:ser>
        <c:ser>
          <c:idx val="1"/>
          <c:order val="1"/>
          <c:tx>
            <c:v>Predicted monthly_sales</c:v>
          </c:tx>
          <c:spPr>
            <a:ln w="38100">
              <a:noFill/>
            </a:ln>
          </c:spPr>
          <c:xVal>
            <c:numRef>
              <c:f>store_performance!$H$2:$H$321</c:f>
              <c:numCache>
                <c:formatCode>General</c:formatCode>
                <c:ptCount val="320"/>
                <c:pt idx="0">
                  <c:v>70389.11</c:v>
                </c:pt>
                <c:pt idx="1">
                  <c:v>43827.89</c:v>
                </c:pt>
                <c:pt idx="2">
                  <c:v>59921.75</c:v>
                </c:pt>
                <c:pt idx="3">
                  <c:v>56856.63</c:v>
                </c:pt>
                <c:pt idx="4">
                  <c:v>48412.639999999999</c:v>
                </c:pt>
                <c:pt idx="5">
                  <c:v>64811.21</c:v>
                </c:pt>
                <c:pt idx="6">
                  <c:v>46213.45</c:v>
                </c:pt>
                <c:pt idx="7">
                  <c:v>68148.52</c:v>
                </c:pt>
                <c:pt idx="8">
                  <c:v>71838.86</c:v>
                </c:pt>
                <c:pt idx="9">
                  <c:v>68133.440000000002</c:v>
                </c:pt>
                <c:pt idx="10">
                  <c:v>34285.21</c:v>
                </c:pt>
                <c:pt idx="11">
                  <c:v>67979.88</c:v>
                </c:pt>
                <c:pt idx="12">
                  <c:v>71828.259999999995</c:v>
                </c:pt>
                <c:pt idx="13">
                  <c:v>55716.82</c:v>
                </c:pt>
                <c:pt idx="14">
                  <c:v>59909.51</c:v>
                </c:pt>
                <c:pt idx="15">
                  <c:v>75305.710000000006</c:v>
                </c:pt>
                <c:pt idx="16">
                  <c:v>48804.22</c:v>
                </c:pt>
                <c:pt idx="17">
                  <c:v>59117.9</c:v>
                </c:pt>
                <c:pt idx="18">
                  <c:v>78831.12</c:v>
                </c:pt>
                <c:pt idx="19">
                  <c:v>41441.93</c:v>
                </c:pt>
                <c:pt idx="20">
                  <c:v>30356.28</c:v>
                </c:pt>
                <c:pt idx="21">
                  <c:v>33518.879999999997</c:v>
                </c:pt>
                <c:pt idx="22">
                  <c:v>42267.37</c:v>
                </c:pt>
                <c:pt idx="23">
                  <c:v>62060.43</c:v>
                </c:pt>
                <c:pt idx="24">
                  <c:v>57696.69</c:v>
                </c:pt>
                <c:pt idx="25">
                  <c:v>172415.52</c:v>
                </c:pt>
                <c:pt idx="26">
                  <c:v>55270.52</c:v>
                </c:pt>
                <c:pt idx="27">
                  <c:v>52715.1</c:v>
                </c:pt>
                <c:pt idx="28">
                  <c:v>68600.62</c:v>
                </c:pt>
                <c:pt idx="29">
                  <c:v>63176.73</c:v>
                </c:pt>
                <c:pt idx="30">
                  <c:v>44970.080000000002</c:v>
                </c:pt>
                <c:pt idx="31">
                  <c:v>69816.350000000006</c:v>
                </c:pt>
                <c:pt idx="32">
                  <c:v>54597.83</c:v>
                </c:pt>
                <c:pt idx="33">
                  <c:v>73771.91</c:v>
                </c:pt>
                <c:pt idx="34">
                  <c:v>74413.88</c:v>
                </c:pt>
                <c:pt idx="35">
                  <c:v>52483.77</c:v>
                </c:pt>
                <c:pt idx="36">
                  <c:v>75269.87</c:v>
                </c:pt>
                <c:pt idx="37">
                  <c:v>61245.41</c:v>
                </c:pt>
                <c:pt idx="38">
                  <c:v>93381.26</c:v>
                </c:pt>
                <c:pt idx="39">
                  <c:v>65012.19</c:v>
                </c:pt>
                <c:pt idx="40">
                  <c:v>40462.94</c:v>
                </c:pt>
                <c:pt idx="41">
                  <c:v>46123.88</c:v>
                </c:pt>
                <c:pt idx="42">
                  <c:v>68077.539999999994</c:v>
                </c:pt>
                <c:pt idx="43">
                  <c:v>64882.14</c:v>
                </c:pt>
                <c:pt idx="44">
                  <c:v>138855.51</c:v>
                </c:pt>
                <c:pt idx="45">
                  <c:v>63630.21</c:v>
                </c:pt>
                <c:pt idx="46">
                  <c:v>50043.65</c:v>
                </c:pt>
                <c:pt idx="47">
                  <c:v>42093.84</c:v>
                </c:pt>
                <c:pt idx="48">
                  <c:v>46624.05</c:v>
                </c:pt>
                <c:pt idx="49">
                  <c:v>49710.29</c:v>
                </c:pt>
                <c:pt idx="50">
                  <c:v>48287.85</c:v>
                </c:pt>
                <c:pt idx="51">
                  <c:v>65312.49</c:v>
                </c:pt>
                <c:pt idx="52">
                  <c:v>53015.46</c:v>
                </c:pt>
                <c:pt idx="53">
                  <c:v>99874.01</c:v>
                </c:pt>
                <c:pt idx="54">
                  <c:v>81195.5</c:v>
                </c:pt>
                <c:pt idx="55">
                  <c:v>27808.6</c:v>
                </c:pt>
                <c:pt idx="56">
                  <c:v>19365.060000000001</c:v>
                </c:pt>
                <c:pt idx="57">
                  <c:v>59405.68</c:v>
                </c:pt>
                <c:pt idx="58">
                  <c:v>118910.48</c:v>
                </c:pt>
                <c:pt idx="59">
                  <c:v>52952.12</c:v>
                </c:pt>
                <c:pt idx="60">
                  <c:v>74907.98</c:v>
                </c:pt>
                <c:pt idx="61">
                  <c:v>37284.660000000003</c:v>
                </c:pt>
                <c:pt idx="62">
                  <c:v>50343.19</c:v>
                </c:pt>
                <c:pt idx="63">
                  <c:v>74954.47</c:v>
                </c:pt>
                <c:pt idx="64">
                  <c:v>70040.31</c:v>
                </c:pt>
                <c:pt idx="65">
                  <c:v>51148.69</c:v>
                </c:pt>
                <c:pt idx="66">
                  <c:v>79346.100000000006</c:v>
                </c:pt>
                <c:pt idx="67">
                  <c:v>42018.400000000001</c:v>
                </c:pt>
                <c:pt idx="68">
                  <c:v>70937.240000000005</c:v>
                </c:pt>
                <c:pt idx="69">
                  <c:v>36813.449999999997</c:v>
                </c:pt>
                <c:pt idx="70">
                  <c:v>60571.82</c:v>
                </c:pt>
                <c:pt idx="71">
                  <c:v>55081.16</c:v>
                </c:pt>
                <c:pt idx="72">
                  <c:v>46201.46</c:v>
                </c:pt>
                <c:pt idx="73">
                  <c:v>53762.92</c:v>
                </c:pt>
                <c:pt idx="74">
                  <c:v>70144.78</c:v>
                </c:pt>
                <c:pt idx="75">
                  <c:v>58749.63</c:v>
                </c:pt>
                <c:pt idx="76">
                  <c:v>56973.18</c:v>
                </c:pt>
                <c:pt idx="77">
                  <c:v>54872.82</c:v>
                </c:pt>
                <c:pt idx="78">
                  <c:v>80562.81</c:v>
                </c:pt>
                <c:pt idx="79">
                  <c:v>77999.899999999994</c:v>
                </c:pt>
                <c:pt idx="80">
                  <c:v>60881.01</c:v>
                </c:pt>
                <c:pt idx="81">
                  <c:v>60628.38</c:v>
                </c:pt>
                <c:pt idx="82">
                  <c:v>72731.14</c:v>
                </c:pt>
                <c:pt idx="83">
                  <c:v>36475.71</c:v>
                </c:pt>
                <c:pt idx="84">
                  <c:v>55388.11</c:v>
                </c:pt>
                <c:pt idx="85">
                  <c:v>88443.77</c:v>
                </c:pt>
                <c:pt idx="86">
                  <c:v>78231.91</c:v>
                </c:pt>
                <c:pt idx="87">
                  <c:v>18996.32</c:v>
                </c:pt>
                <c:pt idx="88">
                  <c:v>50517.94</c:v>
                </c:pt>
                <c:pt idx="89">
                  <c:v>141540.29</c:v>
                </c:pt>
                <c:pt idx="90">
                  <c:v>82116.19</c:v>
                </c:pt>
                <c:pt idx="91">
                  <c:v>31207.51</c:v>
                </c:pt>
                <c:pt idx="92">
                  <c:v>38966.589999999997</c:v>
                </c:pt>
                <c:pt idx="93">
                  <c:v>67439.3</c:v>
                </c:pt>
                <c:pt idx="94">
                  <c:v>86421.88</c:v>
                </c:pt>
                <c:pt idx="95">
                  <c:v>9534.65</c:v>
                </c:pt>
                <c:pt idx="96">
                  <c:v>61132.07</c:v>
                </c:pt>
                <c:pt idx="97">
                  <c:v>78839.39</c:v>
                </c:pt>
                <c:pt idx="98">
                  <c:v>38752.800000000003</c:v>
                </c:pt>
                <c:pt idx="99">
                  <c:v>55101.1</c:v>
                </c:pt>
                <c:pt idx="100">
                  <c:v>53084.76</c:v>
                </c:pt>
                <c:pt idx="101">
                  <c:v>63101.59</c:v>
                </c:pt>
                <c:pt idx="102">
                  <c:v>90084.4</c:v>
                </c:pt>
                <c:pt idx="103">
                  <c:v>32266.639999999999</c:v>
                </c:pt>
                <c:pt idx="104">
                  <c:v>57919.07</c:v>
                </c:pt>
                <c:pt idx="105">
                  <c:v>74679.350000000006</c:v>
                </c:pt>
                <c:pt idx="106">
                  <c:v>64294.23</c:v>
                </c:pt>
                <c:pt idx="107">
                  <c:v>31042.03</c:v>
                </c:pt>
                <c:pt idx="108">
                  <c:v>75265.02</c:v>
                </c:pt>
                <c:pt idx="109">
                  <c:v>69411.7</c:v>
                </c:pt>
                <c:pt idx="110">
                  <c:v>51056.15</c:v>
                </c:pt>
                <c:pt idx="111">
                  <c:v>52758.01</c:v>
                </c:pt>
                <c:pt idx="112">
                  <c:v>61426.04</c:v>
                </c:pt>
                <c:pt idx="113">
                  <c:v>80176.34</c:v>
                </c:pt>
                <c:pt idx="114">
                  <c:v>33605.18</c:v>
                </c:pt>
                <c:pt idx="115">
                  <c:v>25990.54</c:v>
                </c:pt>
                <c:pt idx="116">
                  <c:v>43685.14</c:v>
                </c:pt>
                <c:pt idx="117">
                  <c:v>57360.01</c:v>
                </c:pt>
                <c:pt idx="118">
                  <c:v>42415.47</c:v>
                </c:pt>
                <c:pt idx="119">
                  <c:v>54968.98</c:v>
                </c:pt>
                <c:pt idx="120">
                  <c:v>43896.13</c:v>
                </c:pt>
                <c:pt idx="121">
                  <c:v>83044.17</c:v>
                </c:pt>
                <c:pt idx="122">
                  <c:v>48396.13</c:v>
                </c:pt>
                <c:pt idx="123">
                  <c:v>19063.48</c:v>
                </c:pt>
                <c:pt idx="124">
                  <c:v>61541.21</c:v>
                </c:pt>
                <c:pt idx="125">
                  <c:v>44747</c:v>
                </c:pt>
                <c:pt idx="126">
                  <c:v>56517.9</c:v>
                </c:pt>
                <c:pt idx="127">
                  <c:v>37828.5</c:v>
                </c:pt>
                <c:pt idx="128">
                  <c:v>66250.53</c:v>
                </c:pt>
                <c:pt idx="129">
                  <c:v>68410.929999999993</c:v>
                </c:pt>
                <c:pt idx="130">
                  <c:v>50735.63</c:v>
                </c:pt>
                <c:pt idx="131">
                  <c:v>66455.8</c:v>
                </c:pt>
                <c:pt idx="132">
                  <c:v>70276.28</c:v>
                </c:pt>
                <c:pt idx="133">
                  <c:v>22071.64</c:v>
                </c:pt>
                <c:pt idx="134">
                  <c:v>52285.45</c:v>
                </c:pt>
                <c:pt idx="135">
                  <c:v>70366.759999999995</c:v>
                </c:pt>
                <c:pt idx="136">
                  <c:v>71320.66</c:v>
                </c:pt>
                <c:pt idx="137">
                  <c:v>75109.67</c:v>
                </c:pt>
                <c:pt idx="138">
                  <c:v>69779</c:v>
                </c:pt>
                <c:pt idx="139">
                  <c:v>44211.95</c:v>
                </c:pt>
                <c:pt idx="140">
                  <c:v>51430.31</c:v>
                </c:pt>
                <c:pt idx="141">
                  <c:v>45706.49</c:v>
                </c:pt>
                <c:pt idx="142">
                  <c:v>44034.6</c:v>
                </c:pt>
                <c:pt idx="143">
                  <c:v>50198.12</c:v>
                </c:pt>
                <c:pt idx="144">
                  <c:v>70488.2</c:v>
                </c:pt>
                <c:pt idx="145">
                  <c:v>50909.27</c:v>
                </c:pt>
                <c:pt idx="146">
                  <c:v>53351.7</c:v>
                </c:pt>
                <c:pt idx="147">
                  <c:v>60322.400000000001</c:v>
                </c:pt>
                <c:pt idx="148">
                  <c:v>51575.68</c:v>
                </c:pt>
                <c:pt idx="149">
                  <c:v>43319.94</c:v>
                </c:pt>
                <c:pt idx="150">
                  <c:v>47093.55</c:v>
                </c:pt>
                <c:pt idx="151">
                  <c:v>71855.09</c:v>
                </c:pt>
                <c:pt idx="152">
                  <c:v>75645.23</c:v>
                </c:pt>
                <c:pt idx="153">
                  <c:v>64374.75</c:v>
                </c:pt>
                <c:pt idx="154">
                  <c:v>61433.84</c:v>
                </c:pt>
                <c:pt idx="155">
                  <c:v>42698.14</c:v>
                </c:pt>
                <c:pt idx="156">
                  <c:v>86883.31</c:v>
                </c:pt>
                <c:pt idx="157">
                  <c:v>41863.08</c:v>
                </c:pt>
                <c:pt idx="158">
                  <c:v>56918.16</c:v>
                </c:pt>
                <c:pt idx="159">
                  <c:v>23254.57</c:v>
                </c:pt>
                <c:pt idx="160">
                  <c:v>41443.410000000003</c:v>
                </c:pt>
                <c:pt idx="161">
                  <c:v>48438.85</c:v>
                </c:pt>
                <c:pt idx="162">
                  <c:v>57143.3</c:v>
                </c:pt>
                <c:pt idx="163">
                  <c:v>66870.62</c:v>
                </c:pt>
                <c:pt idx="164">
                  <c:v>72150.53</c:v>
                </c:pt>
                <c:pt idx="165">
                  <c:v>35303.300000000003</c:v>
                </c:pt>
                <c:pt idx="166">
                  <c:v>30301.86</c:v>
                </c:pt>
                <c:pt idx="167">
                  <c:v>78432.14</c:v>
                </c:pt>
                <c:pt idx="168">
                  <c:v>62059.18</c:v>
                </c:pt>
                <c:pt idx="169">
                  <c:v>32834.480000000003</c:v>
                </c:pt>
                <c:pt idx="170">
                  <c:v>50825.08</c:v>
                </c:pt>
                <c:pt idx="171">
                  <c:v>36606.51</c:v>
                </c:pt>
                <c:pt idx="172">
                  <c:v>65237.79</c:v>
                </c:pt>
                <c:pt idx="173">
                  <c:v>43645.98</c:v>
                </c:pt>
                <c:pt idx="174">
                  <c:v>68040.149999999994</c:v>
                </c:pt>
                <c:pt idx="175">
                  <c:v>63043.94</c:v>
                </c:pt>
                <c:pt idx="176">
                  <c:v>67494.09</c:v>
                </c:pt>
                <c:pt idx="177">
                  <c:v>29389.32</c:v>
                </c:pt>
                <c:pt idx="178">
                  <c:v>40535.089999999997</c:v>
                </c:pt>
                <c:pt idx="179">
                  <c:v>74881.56</c:v>
                </c:pt>
                <c:pt idx="180">
                  <c:v>68491.11</c:v>
                </c:pt>
                <c:pt idx="181">
                  <c:v>45209.25</c:v>
                </c:pt>
                <c:pt idx="182">
                  <c:v>63010.23</c:v>
                </c:pt>
                <c:pt idx="183">
                  <c:v>57948.88</c:v>
                </c:pt>
                <c:pt idx="184">
                  <c:v>71941.62</c:v>
                </c:pt>
                <c:pt idx="185">
                  <c:v>57147.88</c:v>
                </c:pt>
                <c:pt idx="186">
                  <c:v>48031.74</c:v>
                </c:pt>
                <c:pt idx="187">
                  <c:v>72784.800000000003</c:v>
                </c:pt>
                <c:pt idx="188">
                  <c:v>71641.899999999994</c:v>
                </c:pt>
                <c:pt idx="189">
                  <c:v>55788.61</c:v>
                </c:pt>
                <c:pt idx="190">
                  <c:v>37705.879999999997</c:v>
                </c:pt>
                <c:pt idx="191">
                  <c:v>54966.18</c:v>
                </c:pt>
                <c:pt idx="192">
                  <c:v>81796.740000000005</c:v>
                </c:pt>
                <c:pt idx="193">
                  <c:v>51133.43</c:v>
                </c:pt>
                <c:pt idx="194">
                  <c:v>40220.18</c:v>
                </c:pt>
                <c:pt idx="195">
                  <c:v>41657.64</c:v>
                </c:pt>
                <c:pt idx="196">
                  <c:v>71851.45</c:v>
                </c:pt>
                <c:pt idx="197">
                  <c:v>54002.83</c:v>
                </c:pt>
                <c:pt idx="198">
                  <c:v>54479.33</c:v>
                </c:pt>
                <c:pt idx="199">
                  <c:v>61391.8</c:v>
                </c:pt>
                <c:pt idx="200">
                  <c:v>22312.93</c:v>
                </c:pt>
                <c:pt idx="201">
                  <c:v>78111.97</c:v>
                </c:pt>
                <c:pt idx="202">
                  <c:v>35203.230000000003</c:v>
                </c:pt>
                <c:pt idx="203">
                  <c:v>64104.28</c:v>
                </c:pt>
                <c:pt idx="204">
                  <c:v>92090.14</c:v>
                </c:pt>
                <c:pt idx="205">
                  <c:v>54300.87</c:v>
                </c:pt>
                <c:pt idx="206">
                  <c:v>37983.35</c:v>
                </c:pt>
                <c:pt idx="207">
                  <c:v>56413.83</c:v>
                </c:pt>
                <c:pt idx="208">
                  <c:v>63457.19</c:v>
                </c:pt>
                <c:pt idx="209">
                  <c:v>62949.7</c:v>
                </c:pt>
                <c:pt idx="210">
                  <c:v>107970.19</c:v>
                </c:pt>
                <c:pt idx="211">
                  <c:v>49405.75</c:v>
                </c:pt>
                <c:pt idx="212">
                  <c:v>50887.46</c:v>
                </c:pt>
                <c:pt idx="213">
                  <c:v>41819.449999999997</c:v>
                </c:pt>
                <c:pt idx="214">
                  <c:v>35296.54</c:v>
                </c:pt>
                <c:pt idx="215">
                  <c:v>47391.09</c:v>
                </c:pt>
                <c:pt idx="216">
                  <c:v>69180.539999999994</c:v>
                </c:pt>
                <c:pt idx="217">
                  <c:v>33987.33</c:v>
                </c:pt>
                <c:pt idx="218">
                  <c:v>58785.33</c:v>
                </c:pt>
                <c:pt idx="219">
                  <c:v>16451.849999999999</c:v>
                </c:pt>
                <c:pt idx="220">
                  <c:v>53367.73</c:v>
                </c:pt>
                <c:pt idx="221">
                  <c:v>27194.639999999999</c:v>
                </c:pt>
                <c:pt idx="222">
                  <c:v>66962.740000000005</c:v>
                </c:pt>
                <c:pt idx="223">
                  <c:v>73540.990000000005</c:v>
                </c:pt>
                <c:pt idx="224">
                  <c:v>68212.289999999994</c:v>
                </c:pt>
                <c:pt idx="225">
                  <c:v>57225.98</c:v>
                </c:pt>
                <c:pt idx="226">
                  <c:v>42932.02</c:v>
                </c:pt>
                <c:pt idx="227">
                  <c:v>39341.449999999997</c:v>
                </c:pt>
                <c:pt idx="228">
                  <c:v>37324.230000000003</c:v>
                </c:pt>
                <c:pt idx="229">
                  <c:v>113736</c:v>
                </c:pt>
                <c:pt idx="230">
                  <c:v>33173.949999999997</c:v>
                </c:pt>
                <c:pt idx="231">
                  <c:v>25818.080000000002</c:v>
                </c:pt>
                <c:pt idx="232">
                  <c:v>47241.919999999998</c:v>
                </c:pt>
                <c:pt idx="233">
                  <c:v>61650.79</c:v>
                </c:pt>
                <c:pt idx="234">
                  <c:v>62582.71</c:v>
                </c:pt>
                <c:pt idx="235">
                  <c:v>47944.14</c:v>
                </c:pt>
                <c:pt idx="236">
                  <c:v>46495.4</c:v>
                </c:pt>
                <c:pt idx="237">
                  <c:v>72961.95</c:v>
                </c:pt>
                <c:pt idx="238">
                  <c:v>59060.05</c:v>
                </c:pt>
                <c:pt idx="239">
                  <c:v>26248.1</c:v>
                </c:pt>
                <c:pt idx="240">
                  <c:v>69900.12</c:v>
                </c:pt>
                <c:pt idx="241">
                  <c:v>51781.599999999999</c:v>
                </c:pt>
                <c:pt idx="242">
                  <c:v>70799.64</c:v>
                </c:pt>
                <c:pt idx="243">
                  <c:v>53546.34</c:v>
                </c:pt>
                <c:pt idx="244">
                  <c:v>76942.2</c:v>
                </c:pt>
                <c:pt idx="245">
                  <c:v>48060.78</c:v>
                </c:pt>
                <c:pt idx="246">
                  <c:v>57390.04</c:v>
                </c:pt>
                <c:pt idx="247">
                  <c:v>21536.18</c:v>
                </c:pt>
                <c:pt idx="248">
                  <c:v>40923.67</c:v>
                </c:pt>
                <c:pt idx="249">
                  <c:v>72932.55</c:v>
                </c:pt>
                <c:pt idx="250">
                  <c:v>38361.93</c:v>
                </c:pt>
                <c:pt idx="251">
                  <c:v>97480.94</c:v>
                </c:pt>
                <c:pt idx="252">
                  <c:v>81801.8</c:v>
                </c:pt>
                <c:pt idx="253">
                  <c:v>63582.11</c:v>
                </c:pt>
                <c:pt idx="254">
                  <c:v>75412.740000000005</c:v>
                </c:pt>
                <c:pt idx="255">
                  <c:v>36290.080000000002</c:v>
                </c:pt>
                <c:pt idx="256">
                  <c:v>65272.58</c:v>
                </c:pt>
                <c:pt idx="257">
                  <c:v>28670.43</c:v>
                </c:pt>
                <c:pt idx="258">
                  <c:v>44189.34</c:v>
                </c:pt>
                <c:pt idx="259">
                  <c:v>38397.82</c:v>
                </c:pt>
                <c:pt idx="260">
                  <c:v>14519.37</c:v>
                </c:pt>
                <c:pt idx="261">
                  <c:v>43288.2</c:v>
                </c:pt>
                <c:pt idx="262">
                  <c:v>51450.55</c:v>
                </c:pt>
                <c:pt idx="263">
                  <c:v>58688.26</c:v>
                </c:pt>
                <c:pt idx="264">
                  <c:v>58981.91</c:v>
                </c:pt>
                <c:pt idx="265">
                  <c:v>73454.539999999994</c:v>
                </c:pt>
                <c:pt idx="266">
                  <c:v>56602.39</c:v>
                </c:pt>
                <c:pt idx="267">
                  <c:v>67722.289999999994</c:v>
                </c:pt>
                <c:pt idx="268">
                  <c:v>48752.92</c:v>
                </c:pt>
                <c:pt idx="269">
                  <c:v>23914.97</c:v>
                </c:pt>
                <c:pt idx="270">
                  <c:v>61995.3</c:v>
                </c:pt>
                <c:pt idx="271">
                  <c:v>29344.93</c:v>
                </c:pt>
                <c:pt idx="272">
                  <c:v>50532.17</c:v>
                </c:pt>
                <c:pt idx="273">
                  <c:v>17562.57</c:v>
                </c:pt>
                <c:pt idx="274">
                  <c:v>47648.71</c:v>
                </c:pt>
                <c:pt idx="275">
                  <c:v>38297.58</c:v>
                </c:pt>
                <c:pt idx="276">
                  <c:v>61784.11</c:v>
                </c:pt>
                <c:pt idx="277">
                  <c:v>36832.33</c:v>
                </c:pt>
                <c:pt idx="278">
                  <c:v>48609.41</c:v>
                </c:pt>
                <c:pt idx="279">
                  <c:v>70284.06</c:v>
                </c:pt>
                <c:pt idx="280">
                  <c:v>45940.39</c:v>
                </c:pt>
                <c:pt idx="281">
                  <c:v>34771.26</c:v>
                </c:pt>
                <c:pt idx="282">
                  <c:v>66104.19</c:v>
                </c:pt>
                <c:pt idx="283">
                  <c:v>18599.21</c:v>
                </c:pt>
                <c:pt idx="284">
                  <c:v>60183.06</c:v>
                </c:pt>
                <c:pt idx="285">
                  <c:v>74539.14</c:v>
                </c:pt>
                <c:pt idx="286">
                  <c:v>55371.97</c:v>
                </c:pt>
                <c:pt idx="287">
                  <c:v>40928.69</c:v>
                </c:pt>
                <c:pt idx="288">
                  <c:v>70012.41</c:v>
                </c:pt>
                <c:pt idx="289">
                  <c:v>68909.259999999995</c:v>
                </c:pt>
                <c:pt idx="290">
                  <c:v>56737.3</c:v>
                </c:pt>
                <c:pt idx="291">
                  <c:v>54080.91</c:v>
                </c:pt>
                <c:pt idx="292">
                  <c:v>51996.32</c:v>
                </c:pt>
                <c:pt idx="293">
                  <c:v>40102.879999999997</c:v>
                </c:pt>
                <c:pt idx="294">
                  <c:v>59825.51</c:v>
                </c:pt>
                <c:pt idx="295">
                  <c:v>27398.28</c:v>
                </c:pt>
                <c:pt idx="296">
                  <c:v>55599.56</c:v>
                </c:pt>
                <c:pt idx="297">
                  <c:v>55477.61</c:v>
                </c:pt>
                <c:pt idx="298">
                  <c:v>46174.7</c:v>
                </c:pt>
                <c:pt idx="299">
                  <c:v>24362.98</c:v>
                </c:pt>
                <c:pt idx="300">
                  <c:v>40647.67</c:v>
                </c:pt>
                <c:pt idx="301">
                  <c:v>63986.98</c:v>
                </c:pt>
                <c:pt idx="302">
                  <c:v>52843.75</c:v>
                </c:pt>
                <c:pt idx="303">
                  <c:v>31997.25</c:v>
                </c:pt>
                <c:pt idx="304">
                  <c:v>54948.02</c:v>
                </c:pt>
                <c:pt idx="305">
                  <c:v>46146.239999999998</c:v>
                </c:pt>
                <c:pt idx="306">
                  <c:v>22387.26</c:v>
                </c:pt>
                <c:pt idx="307">
                  <c:v>60684.05</c:v>
                </c:pt>
                <c:pt idx="308">
                  <c:v>48465.599999999999</c:v>
                </c:pt>
                <c:pt idx="309">
                  <c:v>23702.38</c:v>
                </c:pt>
                <c:pt idx="310">
                  <c:v>54322.94</c:v>
                </c:pt>
                <c:pt idx="311">
                  <c:v>86026.58</c:v>
                </c:pt>
                <c:pt idx="312">
                  <c:v>78967.520000000004</c:v>
                </c:pt>
                <c:pt idx="313">
                  <c:v>46767.99</c:v>
                </c:pt>
                <c:pt idx="314">
                  <c:v>62507.16</c:v>
                </c:pt>
                <c:pt idx="315">
                  <c:v>66456.28</c:v>
                </c:pt>
                <c:pt idx="316">
                  <c:v>76614.320000000007</c:v>
                </c:pt>
                <c:pt idx="317">
                  <c:v>24088.06</c:v>
                </c:pt>
                <c:pt idx="318">
                  <c:v>81902.58</c:v>
                </c:pt>
                <c:pt idx="319">
                  <c:v>40553.11</c:v>
                </c:pt>
              </c:numCache>
            </c:numRef>
          </c:xVal>
          <c:yVal>
            <c:numRef>
              <c:f>'Multiple Regression'!$B$28:$B$347</c:f>
              <c:numCache>
                <c:formatCode>General</c:formatCode>
                <c:ptCount val="320"/>
                <c:pt idx="0">
                  <c:v>759253.24684002204</c:v>
                </c:pt>
                <c:pt idx="1">
                  <c:v>724088.88741891354</c:v>
                </c:pt>
                <c:pt idx="2">
                  <c:v>766507.94313322054</c:v>
                </c:pt>
                <c:pt idx="3">
                  <c:v>772897.71900166175</c:v>
                </c:pt>
                <c:pt idx="4">
                  <c:v>759236.59464102832</c:v>
                </c:pt>
                <c:pt idx="5">
                  <c:v>796720.31007738272</c:v>
                </c:pt>
                <c:pt idx="6">
                  <c:v>802335.8679897195</c:v>
                </c:pt>
                <c:pt idx="7">
                  <c:v>758071.44304781524</c:v>
                </c:pt>
                <c:pt idx="8">
                  <c:v>835434.41920816887</c:v>
                </c:pt>
                <c:pt idx="9">
                  <c:v>779757.95342221716</c:v>
                </c:pt>
                <c:pt idx="10">
                  <c:v>732240.09336047294</c:v>
                </c:pt>
                <c:pt idx="11">
                  <c:v>858332.73444093473</c:v>
                </c:pt>
                <c:pt idx="12">
                  <c:v>904472.23671232129</c:v>
                </c:pt>
                <c:pt idx="13">
                  <c:v>792157.7336249795</c:v>
                </c:pt>
                <c:pt idx="14">
                  <c:v>750763.6372104754</c:v>
                </c:pt>
                <c:pt idx="15">
                  <c:v>856578.33559523558</c:v>
                </c:pt>
                <c:pt idx="16">
                  <c:v>696187.51978787174</c:v>
                </c:pt>
                <c:pt idx="17">
                  <c:v>604044.08636361035</c:v>
                </c:pt>
                <c:pt idx="18">
                  <c:v>679803.05628015031</c:v>
                </c:pt>
                <c:pt idx="19">
                  <c:v>600688.60144134983</c:v>
                </c:pt>
                <c:pt idx="20">
                  <c:v>513040.10744009679</c:v>
                </c:pt>
                <c:pt idx="21">
                  <c:v>497979.69129420089</c:v>
                </c:pt>
                <c:pt idx="22">
                  <c:v>551069.71313189634</c:v>
                </c:pt>
                <c:pt idx="23">
                  <c:v>543419.12236561731</c:v>
                </c:pt>
                <c:pt idx="24">
                  <c:v>812565.49043710809</c:v>
                </c:pt>
                <c:pt idx="25">
                  <c:v>898051.23582480138</c:v>
                </c:pt>
                <c:pt idx="26">
                  <c:v>775245.63440210547</c:v>
                </c:pt>
                <c:pt idx="27">
                  <c:v>706283.45886854373</c:v>
                </c:pt>
                <c:pt idx="28">
                  <c:v>605158.20946146618</c:v>
                </c:pt>
                <c:pt idx="29">
                  <c:v>537204.04035061027</c:v>
                </c:pt>
                <c:pt idx="30">
                  <c:v>526296.32098283502</c:v>
                </c:pt>
                <c:pt idx="31">
                  <c:v>501379.52422424307</c:v>
                </c:pt>
                <c:pt idx="32">
                  <c:v>766187.26204522606</c:v>
                </c:pt>
                <c:pt idx="33">
                  <c:v>874507.07742523763</c:v>
                </c:pt>
                <c:pt idx="34">
                  <c:v>802596.20434615877</c:v>
                </c:pt>
                <c:pt idx="35">
                  <c:v>792927.65188130992</c:v>
                </c:pt>
                <c:pt idx="36">
                  <c:v>778368.14888233808</c:v>
                </c:pt>
                <c:pt idx="37">
                  <c:v>733855.29202742875</c:v>
                </c:pt>
                <c:pt idx="38">
                  <c:v>746754.99445505836</c:v>
                </c:pt>
                <c:pt idx="39">
                  <c:v>792828.50376580923</c:v>
                </c:pt>
                <c:pt idx="40">
                  <c:v>553815.71599239821</c:v>
                </c:pt>
                <c:pt idx="41">
                  <c:v>552363.91092902678</c:v>
                </c:pt>
                <c:pt idx="42">
                  <c:v>583130.23449921724</c:v>
                </c:pt>
                <c:pt idx="43">
                  <c:v>598613.62488444475</c:v>
                </c:pt>
                <c:pt idx="44">
                  <c:v>740017.19982507743</c:v>
                </c:pt>
                <c:pt idx="45">
                  <c:v>615953.26271995006</c:v>
                </c:pt>
                <c:pt idx="46">
                  <c:v>589283.50181044894</c:v>
                </c:pt>
                <c:pt idx="47">
                  <c:v>585582.99740525964</c:v>
                </c:pt>
                <c:pt idx="48">
                  <c:v>618945.0746485847</c:v>
                </c:pt>
                <c:pt idx="49">
                  <c:v>628074.76341009943</c:v>
                </c:pt>
                <c:pt idx="50">
                  <c:v>631326.36182459712</c:v>
                </c:pt>
                <c:pt idx="51">
                  <c:v>715412.13787139801</c:v>
                </c:pt>
                <c:pt idx="52">
                  <c:v>577345.19625542732</c:v>
                </c:pt>
                <c:pt idx="53">
                  <c:v>702688.90618276584</c:v>
                </c:pt>
                <c:pt idx="54">
                  <c:v>682803.72982668539</c:v>
                </c:pt>
                <c:pt idx="55">
                  <c:v>535327.6293270418</c:v>
                </c:pt>
                <c:pt idx="56">
                  <c:v>506091.56565574498</c:v>
                </c:pt>
                <c:pt idx="57">
                  <c:v>552785.03618469054</c:v>
                </c:pt>
                <c:pt idx="58">
                  <c:v>662379.04719693714</c:v>
                </c:pt>
                <c:pt idx="59">
                  <c:v>603247.6109173923</c:v>
                </c:pt>
                <c:pt idx="60">
                  <c:v>662062.42522868712</c:v>
                </c:pt>
                <c:pt idx="61">
                  <c:v>571948.29505419917</c:v>
                </c:pt>
                <c:pt idx="62">
                  <c:v>580563.52884178422</c:v>
                </c:pt>
                <c:pt idx="63">
                  <c:v>706927.94013163366</c:v>
                </c:pt>
                <c:pt idx="64">
                  <c:v>792838.97017956094</c:v>
                </c:pt>
                <c:pt idx="65">
                  <c:v>725556.4599775098</c:v>
                </c:pt>
                <c:pt idx="66">
                  <c:v>819072.60211727698</c:v>
                </c:pt>
                <c:pt idx="67">
                  <c:v>730750.18012194824</c:v>
                </c:pt>
                <c:pt idx="68">
                  <c:v>593119.7795825646</c:v>
                </c:pt>
                <c:pt idx="69">
                  <c:v>524330.7831562598</c:v>
                </c:pt>
                <c:pt idx="70">
                  <c:v>562875.9602944284</c:v>
                </c:pt>
                <c:pt idx="71">
                  <c:v>647818.72948404215</c:v>
                </c:pt>
                <c:pt idx="72">
                  <c:v>630907.91585517745</c:v>
                </c:pt>
                <c:pt idx="73">
                  <c:v>688504.89336035785</c:v>
                </c:pt>
                <c:pt idx="74">
                  <c:v>696718.12650027801</c:v>
                </c:pt>
                <c:pt idx="75">
                  <c:v>730076.04365540436</c:v>
                </c:pt>
                <c:pt idx="76">
                  <c:v>683808.92170223896</c:v>
                </c:pt>
                <c:pt idx="77">
                  <c:v>661112.44054119417</c:v>
                </c:pt>
                <c:pt idx="78">
                  <c:v>731387.74082880386</c:v>
                </c:pt>
                <c:pt idx="79">
                  <c:v>671174.46951776755</c:v>
                </c:pt>
                <c:pt idx="80">
                  <c:v>649671.81003948452</c:v>
                </c:pt>
                <c:pt idx="81">
                  <c:v>624634.87436339329</c:v>
                </c:pt>
                <c:pt idx="82">
                  <c:v>645854.76789813407</c:v>
                </c:pt>
                <c:pt idx="83">
                  <c:v>572976.19138436322</c:v>
                </c:pt>
                <c:pt idx="84">
                  <c:v>571874.29421008227</c:v>
                </c:pt>
                <c:pt idx="85">
                  <c:v>631443.10125977884</c:v>
                </c:pt>
                <c:pt idx="86">
                  <c:v>625594.81935702427</c:v>
                </c:pt>
                <c:pt idx="87">
                  <c:v>465742.24574978818</c:v>
                </c:pt>
                <c:pt idx="88">
                  <c:v>694903.9015182209</c:v>
                </c:pt>
                <c:pt idx="89">
                  <c:v>745355.81577245321</c:v>
                </c:pt>
                <c:pt idx="90">
                  <c:v>695101.78459193441</c:v>
                </c:pt>
                <c:pt idx="91">
                  <c:v>560161.28855737578</c:v>
                </c:pt>
                <c:pt idx="92">
                  <c:v>593172.35977984429</c:v>
                </c:pt>
                <c:pt idx="93">
                  <c:v>708798.30072281603</c:v>
                </c:pt>
                <c:pt idx="94">
                  <c:v>774039.61000620225</c:v>
                </c:pt>
                <c:pt idx="95">
                  <c:v>622277.08413821214</c:v>
                </c:pt>
                <c:pt idx="96">
                  <c:v>684402.13874837046</c:v>
                </c:pt>
                <c:pt idx="97">
                  <c:v>662082.33835508279</c:v>
                </c:pt>
                <c:pt idx="98">
                  <c:v>610281.52325340686</c:v>
                </c:pt>
                <c:pt idx="99">
                  <c:v>637881.30045458721</c:v>
                </c:pt>
                <c:pt idx="100">
                  <c:v>573591.85722221667</c:v>
                </c:pt>
                <c:pt idx="101">
                  <c:v>607485.66332538985</c:v>
                </c:pt>
                <c:pt idx="102">
                  <c:v>719653.57481289178</c:v>
                </c:pt>
                <c:pt idx="103">
                  <c:v>514891.48478379007</c:v>
                </c:pt>
                <c:pt idx="104">
                  <c:v>718954.26800603489</c:v>
                </c:pt>
                <c:pt idx="105">
                  <c:v>787998.53508703667</c:v>
                </c:pt>
                <c:pt idx="106">
                  <c:v>710727.8799442465</c:v>
                </c:pt>
                <c:pt idx="107">
                  <c:v>684023.13806358795</c:v>
                </c:pt>
                <c:pt idx="108">
                  <c:v>710074.97455591417</c:v>
                </c:pt>
                <c:pt idx="109">
                  <c:v>641717.71048944036</c:v>
                </c:pt>
                <c:pt idx="110">
                  <c:v>645292.81717054453</c:v>
                </c:pt>
                <c:pt idx="111">
                  <c:v>595587.07154807204</c:v>
                </c:pt>
                <c:pt idx="112">
                  <c:v>770179.60444179678</c:v>
                </c:pt>
                <c:pt idx="113">
                  <c:v>811809.12660692108</c:v>
                </c:pt>
                <c:pt idx="114">
                  <c:v>748464.59572233551</c:v>
                </c:pt>
                <c:pt idx="115">
                  <c:v>742379.18652536208</c:v>
                </c:pt>
                <c:pt idx="116">
                  <c:v>710060.88802308042</c:v>
                </c:pt>
                <c:pt idx="117">
                  <c:v>749646.07640429819</c:v>
                </c:pt>
                <c:pt idx="118">
                  <c:v>736857.78026991279</c:v>
                </c:pt>
                <c:pt idx="119">
                  <c:v>719009.66248009726</c:v>
                </c:pt>
                <c:pt idx="120">
                  <c:v>575712.08829801157</c:v>
                </c:pt>
                <c:pt idx="121">
                  <c:v>622702.20254863496</c:v>
                </c:pt>
                <c:pt idx="122">
                  <c:v>601645.73356804578</c:v>
                </c:pt>
                <c:pt idx="123">
                  <c:v>470776.82543624792</c:v>
                </c:pt>
                <c:pt idx="124">
                  <c:v>812299.43192425638</c:v>
                </c:pt>
                <c:pt idx="125">
                  <c:v>811325.21556025825</c:v>
                </c:pt>
                <c:pt idx="126">
                  <c:v>771821.39985198283</c:v>
                </c:pt>
                <c:pt idx="127">
                  <c:v>714712.2953581257</c:v>
                </c:pt>
                <c:pt idx="128">
                  <c:v>823425.34091719228</c:v>
                </c:pt>
                <c:pt idx="129">
                  <c:v>819388.08039829205</c:v>
                </c:pt>
                <c:pt idx="130">
                  <c:v>772067.72180727171</c:v>
                </c:pt>
                <c:pt idx="131">
                  <c:v>835669.68691974832</c:v>
                </c:pt>
                <c:pt idx="132">
                  <c:v>579330.88028028875</c:v>
                </c:pt>
                <c:pt idx="133">
                  <c:v>472882.06450583047</c:v>
                </c:pt>
                <c:pt idx="134">
                  <c:v>577544.90982965683</c:v>
                </c:pt>
                <c:pt idx="135">
                  <c:v>534062.08478965738</c:v>
                </c:pt>
                <c:pt idx="136">
                  <c:v>745885.75903956871</c:v>
                </c:pt>
                <c:pt idx="137">
                  <c:v>692270.11196989357</c:v>
                </c:pt>
                <c:pt idx="138">
                  <c:v>689810.62489300163</c:v>
                </c:pt>
                <c:pt idx="139">
                  <c:v>621410.31119303626</c:v>
                </c:pt>
                <c:pt idx="140">
                  <c:v>668185.55658928177</c:v>
                </c:pt>
                <c:pt idx="141">
                  <c:v>688329.64290619222</c:v>
                </c:pt>
                <c:pt idx="142">
                  <c:v>648137.25374256889</c:v>
                </c:pt>
                <c:pt idx="143">
                  <c:v>660044.10478721361</c:v>
                </c:pt>
                <c:pt idx="144">
                  <c:v>614195.2293791573</c:v>
                </c:pt>
                <c:pt idx="145">
                  <c:v>562640.79000531661</c:v>
                </c:pt>
                <c:pt idx="146">
                  <c:v>594073.63665160397</c:v>
                </c:pt>
                <c:pt idx="147">
                  <c:v>575743.79376626504</c:v>
                </c:pt>
                <c:pt idx="148">
                  <c:v>637620.73015109519</c:v>
                </c:pt>
                <c:pt idx="149">
                  <c:v>669511.12365382875</c:v>
                </c:pt>
                <c:pt idx="150">
                  <c:v>635246.10839179822</c:v>
                </c:pt>
                <c:pt idx="151">
                  <c:v>666940.57617454161</c:v>
                </c:pt>
                <c:pt idx="152">
                  <c:v>794279.7139504638</c:v>
                </c:pt>
                <c:pt idx="153">
                  <c:v>688736.08959228545</c:v>
                </c:pt>
                <c:pt idx="154">
                  <c:v>718149.05793342355</c:v>
                </c:pt>
                <c:pt idx="155">
                  <c:v>694470.61831812246</c:v>
                </c:pt>
                <c:pt idx="156">
                  <c:v>713653.43301528017</c:v>
                </c:pt>
                <c:pt idx="157">
                  <c:v>623021.52143490477</c:v>
                </c:pt>
                <c:pt idx="158">
                  <c:v>690458.19211826846</c:v>
                </c:pt>
                <c:pt idx="159">
                  <c:v>545741.70489860745</c:v>
                </c:pt>
                <c:pt idx="160">
                  <c:v>686117.58189425175</c:v>
                </c:pt>
                <c:pt idx="161">
                  <c:v>691021.91730953066</c:v>
                </c:pt>
                <c:pt idx="162">
                  <c:v>721951.47204628156</c:v>
                </c:pt>
                <c:pt idx="163">
                  <c:v>676908.12206759281</c:v>
                </c:pt>
                <c:pt idx="164">
                  <c:v>785342.17396988242</c:v>
                </c:pt>
                <c:pt idx="165">
                  <c:v>728513.37619696674</c:v>
                </c:pt>
                <c:pt idx="166">
                  <c:v>663651.51771364512</c:v>
                </c:pt>
                <c:pt idx="167">
                  <c:v>799160.39660130639</c:v>
                </c:pt>
                <c:pt idx="168">
                  <c:v>777434.14712334343</c:v>
                </c:pt>
                <c:pt idx="169">
                  <c:v>687116.27799482737</c:v>
                </c:pt>
                <c:pt idx="170">
                  <c:v>748529.77497078094</c:v>
                </c:pt>
                <c:pt idx="171">
                  <c:v>692913.22586685873</c:v>
                </c:pt>
                <c:pt idx="172">
                  <c:v>757943.74482893676</c:v>
                </c:pt>
                <c:pt idx="173">
                  <c:v>762436.87158584979</c:v>
                </c:pt>
                <c:pt idx="174">
                  <c:v>800383.36662569758</c:v>
                </c:pt>
                <c:pt idx="175">
                  <c:v>811022.0980688635</c:v>
                </c:pt>
                <c:pt idx="176">
                  <c:v>902282.11253843817</c:v>
                </c:pt>
                <c:pt idx="177">
                  <c:v>698440.43725437729</c:v>
                </c:pt>
                <c:pt idx="178">
                  <c:v>754882.49086245778</c:v>
                </c:pt>
                <c:pt idx="179">
                  <c:v>834328.31376793189</c:v>
                </c:pt>
                <c:pt idx="180">
                  <c:v>866888.80664809712</c:v>
                </c:pt>
                <c:pt idx="181">
                  <c:v>765340.13071255141</c:v>
                </c:pt>
                <c:pt idx="182">
                  <c:v>805691.18397890218</c:v>
                </c:pt>
                <c:pt idx="183">
                  <c:v>834923.35338050581</c:v>
                </c:pt>
                <c:pt idx="184">
                  <c:v>683915.79388460307</c:v>
                </c:pt>
                <c:pt idx="185">
                  <c:v>631279.093706007</c:v>
                </c:pt>
                <c:pt idx="186">
                  <c:v>671659.45836138364</c:v>
                </c:pt>
                <c:pt idx="187">
                  <c:v>744954.38282641978</c:v>
                </c:pt>
                <c:pt idx="188">
                  <c:v>603421.15500323405</c:v>
                </c:pt>
                <c:pt idx="189">
                  <c:v>540174.06532746181</c:v>
                </c:pt>
                <c:pt idx="190">
                  <c:v>466761.38971965393</c:v>
                </c:pt>
                <c:pt idx="191">
                  <c:v>598758.02773128334</c:v>
                </c:pt>
                <c:pt idx="192">
                  <c:v>700537.49887354765</c:v>
                </c:pt>
                <c:pt idx="193">
                  <c:v>632424.67772512883</c:v>
                </c:pt>
                <c:pt idx="194">
                  <c:v>579529.2231825029</c:v>
                </c:pt>
                <c:pt idx="195">
                  <c:v>547015.96087993577</c:v>
                </c:pt>
                <c:pt idx="196">
                  <c:v>644119.45895451575</c:v>
                </c:pt>
                <c:pt idx="197">
                  <c:v>609830.0913451761</c:v>
                </c:pt>
                <c:pt idx="198">
                  <c:v>609294.93056210002</c:v>
                </c:pt>
                <c:pt idx="199">
                  <c:v>644468.57750868099</c:v>
                </c:pt>
                <c:pt idx="200">
                  <c:v>618613.30020958174</c:v>
                </c:pt>
                <c:pt idx="201">
                  <c:v>694264.52827036101</c:v>
                </c:pt>
                <c:pt idx="202">
                  <c:v>672920.3907789744</c:v>
                </c:pt>
                <c:pt idx="203">
                  <c:v>667813.4776217438</c:v>
                </c:pt>
                <c:pt idx="204">
                  <c:v>820865.03577741864</c:v>
                </c:pt>
                <c:pt idx="205">
                  <c:v>720863.16134989948</c:v>
                </c:pt>
                <c:pt idx="206">
                  <c:v>745840.55207327008</c:v>
                </c:pt>
                <c:pt idx="207">
                  <c:v>736835.48676057649</c:v>
                </c:pt>
                <c:pt idx="208">
                  <c:v>807685.50590268848</c:v>
                </c:pt>
                <c:pt idx="209">
                  <c:v>778166.99716798542</c:v>
                </c:pt>
                <c:pt idx="210">
                  <c:v>956479.59241207002</c:v>
                </c:pt>
                <c:pt idx="211">
                  <c:v>779535.60019891907</c:v>
                </c:pt>
                <c:pt idx="212">
                  <c:v>783544.6402106348</c:v>
                </c:pt>
                <c:pt idx="213">
                  <c:v>764882.55475451984</c:v>
                </c:pt>
                <c:pt idx="214">
                  <c:v>778533.41821393953</c:v>
                </c:pt>
                <c:pt idx="215">
                  <c:v>832305.77385166881</c:v>
                </c:pt>
                <c:pt idx="216">
                  <c:v>652832.89315070689</c:v>
                </c:pt>
                <c:pt idx="217">
                  <c:v>589416.30470322585</c:v>
                </c:pt>
                <c:pt idx="218">
                  <c:v>600771.31896567263</c:v>
                </c:pt>
                <c:pt idx="219">
                  <c:v>568198.06603688269</c:v>
                </c:pt>
                <c:pt idx="220">
                  <c:v>696745.94540503353</c:v>
                </c:pt>
                <c:pt idx="221">
                  <c:v>675901.59374685993</c:v>
                </c:pt>
                <c:pt idx="222">
                  <c:v>734637.68708096631</c:v>
                </c:pt>
                <c:pt idx="223">
                  <c:v>779267.67089512723</c:v>
                </c:pt>
                <c:pt idx="224">
                  <c:v>622497.45226846961</c:v>
                </c:pt>
                <c:pt idx="225">
                  <c:v>554816.24351644691</c:v>
                </c:pt>
                <c:pt idx="226">
                  <c:v>567902.54907259671</c:v>
                </c:pt>
                <c:pt idx="227">
                  <c:v>486914.45440305717</c:v>
                </c:pt>
                <c:pt idx="228">
                  <c:v>640361.9656184091</c:v>
                </c:pt>
                <c:pt idx="229">
                  <c:v>816512.81975268247</c:v>
                </c:pt>
                <c:pt idx="230">
                  <c:v>646697.90033081966</c:v>
                </c:pt>
                <c:pt idx="231">
                  <c:v>616778.33238736866</c:v>
                </c:pt>
                <c:pt idx="232">
                  <c:v>605432.81452445104</c:v>
                </c:pt>
                <c:pt idx="233">
                  <c:v>652253.93195704522</c:v>
                </c:pt>
                <c:pt idx="234">
                  <c:v>665525.01914354146</c:v>
                </c:pt>
                <c:pt idx="235">
                  <c:v>665744.54873103381</c:v>
                </c:pt>
                <c:pt idx="236">
                  <c:v>789418.16609060264</c:v>
                </c:pt>
                <c:pt idx="237">
                  <c:v>823807.79618193081</c:v>
                </c:pt>
                <c:pt idx="238">
                  <c:v>789712.12307217333</c:v>
                </c:pt>
                <c:pt idx="239">
                  <c:v>740691.54283226165</c:v>
                </c:pt>
                <c:pt idx="240">
                  <c:v>729240.50084088661</c:v>
                </c:pt>
                <c:pt idx="241">
                  <c:v>647499.42178190092</c:v>
                </c:pt>
                <c:pt idx="242">
                  <c:v>809522.53965045628</c:v>
                </c:pt>
                <c:pt idx="243">
                  <c:v>733810.67378014571</c:v>
                </c:pt>
                <c:pt idx="244">
                  <c:v>784201.24449038168</c:v>
                </c:pt>
                <c:pt idx="245">
                  <c:v>752039.21015795367</c:v>
                </c:pt>
                <c:pt idx="246">
                  <c:v>698439.59981694445</c:v>
                </c:pt>
                <c:pt idx="247">
                  <c:v>681153.61522291065</c:v>
                </c:pt>
                <c:pt idx="248">
                  <c:v>567578.37976195395</c:v>
                </c:pt>
                <c:pt idx="249">
                  <c:v>678409.66144027503</c:v>
                </c:pt>
                <c:pt idx="250">
                  <c:v>635904.33263238019</c:v>
                </c:pt>
                <c:pt idx="251">
                  <c:v>737015.10350888933</c:v>
                </c:pt>
                <c:pt idx="252">
                  <c:v>720508.98809447594</c:v>
                </c:pt>
                <c:pt idx="253">
                  <c:v>700141.17981703172</c:v>
                </c:pt>
                <c:pt idx="254">
                  <c:v>674146.51351943857</c:v>
                </c:pt>
                <c:pt idx="255">
                  <c:v>639767.33521367819</c:v>
                </c:pt>
                <c:pt idx="256">
                  <c:v>748037.41978896922</c:v>
                </c:pt>
                <c:pt idx="257">
                  <c:v>680983.84657363081</c:v>
                </c:pt>
                <c:pt idx="258">
                  <c:v>731648.10170362098</c:v>
                </c:pt>
                <c:pt idx="259">
                  <c:v>710319.38130024227</c:v>
                </c:pt>
                <c:pt idx="260">
                  <c:v>521515.30751900194</c:v>
                </c:pt>
                <c:pt idx="261">
                  <c:v>609499.25749626092</c:v>
                </c:pt>
                <c:pt idx="262">
                  <c:v>630129.23140346585</c:v>
                </c:pt>
                <c:pt idx="263">
                  <c:v>597224.16415453062</c:v>
                </c:pt>
                <c:pt idx="264">
                  <c:v>708845.24992508371</c:v>
                </c:pt>
                <c:pt idx="265">
                  <c:v>741966.93419628928</c:v>
                </c:pt>
                <c:pt idx="266">
                  <c:v>721057.07227916224</c:v>
                </c:pt>
                <c:pt idx="267">
                  <c:v>721990.70981133985</c:v>
                </c:pt>
                <c:pt idx="268">
                  <c:v>720581.51689546101</c:v>
                </c:pt>
                <c:pt idx="269">
                  <c:v>688262.93965865113</c:v>
                </c:pt>
                <c:pt idx="270">
                  <c:v>799326.72740102338</c:v>
                </c:pt>
                <c:pt idx="271">
                  <c:v>677720.52428942418</c:v>
                </c:pt>
                <c:pt idx="272">
                  <c:v>658511.06718635885</c:v>
                </c:pt>
                <c:pt idx="273">
                  <c:v>532747.64461966697</c:v>
                </c:pt>
                <c:pt idx="274">
                  <c:v>649967.09500705439</c:v>
                </c:pt>
                <c:pt idx="275">
                  <c:v>634171.28410680173</c:v>
                </c:pt>
                <c:pt idx="276">
                  <c:v>750465.11324100103</c:v>
                </c:pt>
                <c:pt idx="277">
                  <c:v>714696.64467765065</c:v>
                </c:pt>
                <c:pt idx="278">
                  <c:v>753636.70430260745</c:v>
                </c:pt>
                <c:pt idx="279">
                  <c:v>789585.83970078046</c:v>
                </c:pt>
                <c:pt idx="280">
                  <c:v>585392.6765876296</c:v>
                </c:pt>
                <c:pt idx="281">
                  <c:v>585458.1922143054</c:v>
                </c:pt>
                <c:pt idx="282">
                  <c:v>666073.97084973997</c:v>
                </c:pt>
                <c:pt idx="283">
                  <c:v>516199.52052399365</c:v>
                </c:pt>
                <c:pt idx="284">
                  <c:v>669034.99367261969</c:v>
                </c:pt>
                <c:pt idx="285">
                  <c:v>637682.42574972776</c:v>
                </c:pt>
                <c:pt idx="286">
                  <c:v>601161.78824034473</c:v>
                </c:pt>
                <c:pt idx="287">
                  <c:v>583246.20396702818</c:v>
                </c:pt>
                <c:pt idx="288">
                  <c:v>744476.02150991966</c:v>
                </c:pt>
                <c:pt idx="289">
                  <c:v>719087.23545677611</c:v>
                </c:pt>
                <c:pt idx="290">
                  <c:v>744541.85133001755</c:v>
                </c:pt>
                <c:pt idx="291">
                  <c:v>703505.60489899642</c:v>
                </c:pt>
                <c:pt idx="292">
                  <c:v>594017.27207521291</c:v>
                </c:pt>
                <c:pt idx="293">
                  <c:v>528909.13146417751</c:v>
                </c:pt>
                <c:pt idx="294">
                  <c:v>505104.19464019005</c:v>
                </c:pt>
                <c:pt idx="295">
                  <c:v>488537.97863514739</c:v>
                </c:pt>
                <c:pt idx="296">
                  <c:v>672640.45410775626</c:v>
                </c:pt>
                <c:pt idx="297">
                  <c:v>666891.68220752</c:v>
                </c:pt>
                <c:pt idx="298">
                  <c:v>621513.63382172515</c:v>
                </c:pt>
                <c:pt idx="299">
                  <c:v>481106.97595513979</c:v>
                </c:pt>
                <c:pt idx="300">
                  <c:v>714974.57708338555</c:v>
                </c:pt>
                <c:pt idx="301">
                  <c:v>738630.66342417244</c:v>
                </c:pt>
                <c:pt idx="302">
                  <c:v>729651.17455352668</c:v>
                </c:pt>
                <c:pt idx="303">
                  <c:v>697770.20527669415</c:v>
                </c:pt>
                <c:pt idx="304">
                  <c:v>669858.33989245049</c:v>
                </c:pt>
                <c:pt idx="305">
                  <c:v>647387.64818553219</c:v>
                </c:pt>
                <c:pt idx="306">
                  <c:v>628274.38222412451</c:v>
                </c:pt>
                <c:pt idx="307">
                  <c:v>681416.76416687807</c:v>
                </c:pt>
                <c:pt idx="308">
                  <c:v>639039.68042602704</c:v>
                </c:pt>
                <c:pt idx="309">
                  <c:v>593808.81437924667</c:v>
                </c:pt>
                <c:pt idx="310">
                  <c:v>630720.46057469351</c:v>
                </c:pt>
                <c:pt idx="311">
                  <c:v>740562.05549299705</c:v>
                </c:pt>
                <c:pt idx="312">
                  <c:v>699110.01181331405</c:v>
                </c:pt>
                <c:pt idx="313">
                  <c:v>708852.73812193319</c:v>
                </c:pt>
                <c:pt idx="314">
                  <c:v>668681.35318483552</c:v>
                </c:pt>
                <c:pt idx="315">
                  <c:v>804819.77224413783</c:v>
                </c:pt>
                <c:pt idx="316">
                  <c:v>665261.79580303817</c:v>
                </c:pt>
                <c:pt idx="317">
                  <c:v>547982.80290306825</c:v>
                </c:pt>
                <c:pt idx="318">
                  <c:v>739340.97925306484</c:v>
                </c:pt>
                <c:pt idx="319">
                  <c:v>614228.872199176</c:v>
                </c:pt>
              </c:numCache>
            </c:numRef>
          </c:yVal>
          <c:smooth val="0"/>
          <c:extLst>
            <c:ext xmlns:c16="http://schemas.microsoft.com/office/drawing/2014/chart" uri="{C3380CC4-5D6E-409C-BE32-E72D297353CC}">
              <c16:uniqueId val="{00000001-84A3-4275-BAFB-784C973DD5ED}"/>
            </c:ext>
          </c:extLst>
        </c:ser>
        <c:dLbls>
          <c:showLegendKey val="0"/>
          <c:showVal val="0"/>
          <c:showCatName val="0"/>
          <c:showSerName val="0"/>
          <c:showPercent val="0"/>
          <c:showBubbleSize val="0"/>
        </c:dLbls>
        <c:axId val="575745536"/>
        <c:axId val="575746848"/>
      </c:scatterChart>
      <c:valAx>
        <c:axId val="575745536"/>
        <c:scaling>
          <c:orientation val="minMax"/>
        </c:scaling>
        <c:delete val="0"/>
        <c:axPos val="b"/>
        <c:title>
          <c:tx>
            <c:rich>
              <a:bodyPr/>
              <a:lstStyle/>
              <a:p>
                <a:pPr>
                  <a:defRPr/>
                </a:pPr>
                <a:r>
                  <a:rPr lang="en-IN"/>
                  <a:t>marketing_spend</a:t>
                </a:r>
              </a:p>
            </c:rich>
          </c:tx>
          <c:overlay val="0"/>
        </c:title>
        <c:numFmt formatCode="General" sourceLinked="1"/>
        <c:majorTickMark val="out"/>
        <c:minorTickMark val="none"/>
        <c:tickLblPos val="nextTo"/>
        <c:crossAx val="575746848"/>
        <c:crosses val="autoZero"/>
        <c:crossBetween val="midCat"/>
      </c:valAx>
      <c:valAx>
        <c:axId val="575746848"/>
        <c:scaling>
          <c:orientation val="minMax"/>
        </c:scaling>
        <c:delete val="0"/>
        <c:axPos val="l"/>
        <c:title>
          <c:tx>
            <c:rich>
              <a:bodyPr/>
              <a:lstStyle/>
              <a:p>
                <a:pPr>
                  <a:defRPr/>
                </a:pPr>
                <a:r>
                  <a:rPr lang="en-IN"/>
                  <a:t>monthly_sales</a:t>
                </a:r>
              </a:p>
            </c:rich>
          </c:tx>
          <c:overlay val="0"/>
        </c:title>
        <c:numFmt formatCode="General" sourceLinked="1"/>
        <c:majorTickMark val="out"/>
        <c:minorTickMark val="none"/>
        <c:tickLblPos val="nextTo"/>
        <c:crossAx val="575745536"/>
        <c:crosses val="autoZero"/>
        <c:crossBetween val="midCat"/>
      </c:valAx>
    </c:plotArea>
    <c:legend>
      <c:legendPos val="r"/>
      <c:overlay val="0"/>
    </c:legend>
    <c:plotVisOnly val="1"/>
    <c:dispBlanksAs val="gap"/>
    <c:extLst>
      <c:ext xmlns:c16r3="http://schemas.microsoft.com/office/drawing/2017/03/chart" uri="{56B9EC1D-385E-4148-901F-78D8002777C0}">
        <c16r3:dataDisplayOptions16>
          <c16r3:dispNaAsBlank val="1"/>
        </c16r3:dataDisplayOptions16>
      </c:ext>
    </c:extLst>
    <c:showDLblsOverMax val="0"/>
  </c:chart>
  <c:printSettings>
    <c:headerFooter/>
    <c:pageMargins b="0.75" l="0.7" r="0.7" t="0.75" header="0.3" footer="0.3"/>
    <c:pageSetup/>
  </c:printSettings>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a:pPr>
            <a:r>
              <a:rPr lang="en-IN"/>
              <a:t>footfall Line Fit  Plot</a:t>
            </a:r>
          </a:p>
        </c:rich>
      </c:tx>
      <c:overlay val="0"/>
    </c:title>
    <c:autoTitleDeleted val="0"/>
    <c:plotArea>
      <c:layout/>
      <c:scatterChart>
        <c:scatterStyle val="lineMarker"/>
        <c:varyColors val="0"/>
        <c:ser>
          <c:idx val="0"/>
          <c:order val="0"/>
          <c:tx>
            <c:v>monthly_sales</c:v>
          </c:tx>
          <c:spPr>
            <a:ln w="38100">
              <a:noFill/>
            </a:ln>
          </c:spPr>
          <c:xVal>
            <c:numRef>
              <c:f>store_performance!$I$2:$I$321</c:f>
              <c:numCache>
                <c:formatCode>General</c:formatCode>
                <c:ptCount val="320"/>
                <c:pt idx="0">
                  <c:v>8302</c:v>
                </c:pt>
                <c:pt idx="1">
                  <c:v>8487</c:v>
                </c:pt>
                <c:pt idx="2">
                  <c:v>9113</c:v>
                </c:pt>
                <c:pt idx="3">
                  <c:v>9431</c:v>
                </c:pt>
                <c:pt idx="4">
                  <c:v>9545</c:v>
                </c:pt>
                <c:pt idx="5">
                  <c:v>9792</c:v>
                </c:pt>
                <c:pt idx="6">
                  <c:v>10616</c:v>
                </c:pt>
                <c:pt idx="7">
                  <c:v>8567</c:v>
                </c:pt>
                <c:pt idx="8">
                  <c:v>10979</c:v>
                </c:pt>
                <c:pt idx="9">
                  <c:v>9459</c:v>
                </c:pt>
                <c:pt idx="10">
                  <c:v>9172</c:v>
                </c:pt>
                <c:pt idx="11">
                  <c:v>11230</c:v>
                </c:pt>
                <c:pt idx="12">
                  <c:v>12775</c:v>
                </c:pt>
                <c:pt idx="13">
                  <c:v>10054</c:v>
                </c:pt>
                <c:pt idx="14">
                  <c:v>8895</c:v>
                </c:pt>
                <c:pt idx="15">
                  <c:v>10940</c:v>
                </c:pt>
                <c:pt idx="16">
                  <c:v>7057</c:v>
                </c:pt>
                <c:pt idx="17">
                  <c:v>4263</c:v>
                </c:pt>
                <c:pt idx="18">
                  <c:v>5538</c:v>
                </c:pt>
                <c:pt idx="19">
                  <c:v>4865</c:v>
                </c:pt>
                <c:pt idx="20">
                  <c:v>2822</c:v>
                </c:pt>
                <c:pt idx="21">
                  <c:v>2121</c:v>
                </c:pt>
                <c:pt idx="22">
                  <c:v>3364</c:v>
                </c:pt>
                <c:pt idx="23">
                  <c:v>2613</c:v>
                </c:pt>
                <c:pt idx="24">
                  <c:v>10218</c:v>
                </c:pt>
                <c:pt idx="25">
                  <c:v>8927</c:v>
                </c:pt>
                <c:pt idx="26">
                  <c:v>9315</c:v>
                </c:pt>
                <c:pt idx="27">
                  <c:v>7223</c:v>
                </c:pt>
                <c:pt idx="28">
                  <c:v>3988</c:v>
                </c:pt>
                <c:pt idx="29">
                  <c:v>2390</c:v>
                </c:pt>
                <c:pt idx="30">
                  <c:v>2471</c:v>
                </c:pt>
                <c:pt idx="31">
                  <c:v>971</c:v>
                </c:pt>
                <c:pt idx="32">
                  <c:v>9429</c:v>
                </c:pt>
                <c:pt idx="33">
                  <c:v>11695</c:v>
                </c:pt>
                <c:pt idx="34">
                  <c:v>9449</c:v>
                </c:pt>
                <c:pt idx="35">
                  <c:v>10453</c:v>
                </c:pt>
                <c:pt idx="36">
                  <c:v>8838</c:v>
                </c:pt>
                <c:pt idx="37">
                  <c:v>8156</c:v>
                </c:pt>
                <c:pt idx="38">
                  <c:v>7562</c:v>
                </c:pt>
                <c:pt idx="39">
                  <c:v>9598</c:v>
                </c:pt>
                <c:pt idx="40">
                  <c:v>3660</c:v>
                </c:pt>
                <c:pt idx="41">
                  <c:v>3227</c:v>
                </c:pt>
                <c:pt idx="42">
                  <c:v>3360</c:v>
                </c:pt>
                <c:pt idx="43">
                  <c:v>3642</c:v>
                </c:pt>
                <c:pt idx="44">
                  <c:v>5145</c:v>
                </c:pt>
                <c:pt idx="45">
                  <c:v>4460</c:v>
                </c:pt>
                <c:pt idx="46">
                  <c:v>3804</c:v>
                </c:pt>
                <c:pt idx="47">
                  <c:v>4074</c:v>
                </c:pt>
                <c:pt idx="48">
                  <c:v>5104</c:v>
                </c:pt>
                <c:pt idx="49">
                  <c:v>5559</c:v>
                </c:pt>
                <c:pt idx="50">
                  <c:v>5150</c:v>
                </c:pt>
                <c:pt idx="51">
                  <c:v>7189</c:v>
                </c:pt>
                <c:pt idx="52">
                  <c:v>3279</c:v>
                </c:pt>
                <c:pt idx="53">
                  <c:v>5887</c:v>
                </c:pt>
                <c:pt idx="54">
                  <c:v>5516</c:v>
                </c:pt>
                <c:pt idx="55">
                  <c:v>2863</c:v>
                </c:pt>
                <c:pt idx="56">
                  <c:v>2378</c:v>
                </c:pt>
                <c:pt idx="57">
                  <c:v>2515</c:v>
                </c:pt>
                <c:pt idx="58">
                  <c:v>4022</c:v>
                </c:pt>
                <c:pt idx="59">
                  <c:v>4377</c:v>
                </c:pt>
                <c:pt idx="60">
                  <c:v>5306</c:v>
                </c:pt>
                <c:pt idx="61">
                  <c:v>3928</c:v>
                </c:pt>
                <c:pt idx="62">
                  <c:v>3845</c:v>
                </c:pt>
                <c:pt idx="63">
                  <c:v>6620</c:v>
                </c:pt>
                <c:pt idx="64">
                  <c:v>9175</c:v>
                </c:pt>
                <c:pt idx="65">
                  <c:v>7940</c:v>
                </c:pt>
                <c:pt idx="66">
                  <c:v>9628</c:v>
                </c:pt>
                <c:pt idx="67">
                  <c:v>8296</c:v>
                </c:pt>
                <c:pt idx="68">
                  <c:v>3595</c:v>
                </c:pt>
                <c:pt idx="69">
                  <c:v>2834</c:v>
                </c:pt>
                <c:pt idx="70">
                  <c:v>3193</c:v>
                </c:pt>
                <c:pt idx="71">
                  <c:v>5485</c:v>
                </c:pt>
                <c:pt idx="72">
                  <c:v>5918</c:v>
                </c:pt>
                <c:pt idx="73">
                  <c:v>6821</c:v>
                </c:pt>
                <c:pt idx="74">
                  <c:v>6806</c:v>
                </c:pt>
                <c:pt idx="75">
                  <c:v>8252</c:v>
                </c:pt>
                <c:pt idx="76">
                  <c:v>6662</c:v>
                </c:pt>
                <c:pt idx="77">
                  <c:v>5962</c:v>
                </c:pt>
                <c:pt idx="78">
                  <c:v>7470</c:v>
                </c:pt>
                <c:pt idx="79">
                  <c:v>5974</c:v>
                </c:pt>
                <c:pt idx="80">
                  <c:v>5410</c:v>
                </c:pt>
                <c:pt idx="81">
                  <c:v>4451</c:v>
                </c:pt>
                <c:pt idx="82">
                  <c:v>4644</c:v>
                </c:pt>
                <c:pt idx="83">
                  <c:v>3559</c:v>
                </c:pt>
                <c:pt idx="84">
                  <c:v>3091</c:v>
                </c:pt>
                <c:pt idx="85">
                  <c:v>4004</c:v>
                </c:pt>
                <c:pt idx="86">
                  <c:v>3788</c:v>
                </c:pt>
                <c:pt idx="87">
                  <c:v>1260</c:v>
                </c:pt>
                <c:pt idx="88">
                  <c:v>7024</c:v>
                </c:pt>
                <c:pt idx="89">
                  <c:v>5400</c:v>
                </c:pt>
                <c:pt idx="90">
                  <c:v>5988</c:v>
                </c:pt>
                <c:pt idx="91">
                  <c:v>3701</c:v>
                </c:pt>
                <c:pt idx="92">
                  <c:v>4509</c:v>
                </c:pt>
                <c:pt idx="93">
                  <c:v>6477</c:v>
                </c:pt>
                <c:pt idx="94">
                  <c:v>7970</c:v>
                </c:pt>
                <c:pt idx="95">
                  <c:v>6057</c:v>
                </c:pt>
                <c:pt idx="96">
                  <c:v>6394</c:v>
                </c:pt>
                <c:pt idx="97">
                  <c:v>5150</c:v>
                </c:pt>
                <c:pt idx="98">
                  <c:v>4712</c:v>
                </c:pt>
                <c:pt idx="99">
                  <c:v>5281</c:v>
                </c:pt>
                <c:pt idx="100">
                  <c:v>3642</c:v>
                </c:pt>
                <c:pt idx="101">
                  <c:v>4373</c:v>
                </c:pt>
                <c:pt idx="102">
                  <c:v>6832</c:v>
                </c:pt>
                <c:pt idx="103">
                  <c:v>2414</c:v>
                </c:pt>
                <c:pt idx="104">
                  <c:v>7374</c:v>
                </c:pt>
                <c:pt idx="105">
                  <c:v>8739</c:v>
                </c:pt>
                <c:pt idx="106">
                  <c:v>6992</c:v>
                </c:pt>
                <c:pt idx="107">
                  <c:v>7107</c:v>
                </c:pt>
                <c:pt idx="108">
                  <c:v>6975</c:v>
                </c:pt>
                <c:pt idx="109">
                  <c:v>5493</c:v>
                </c:pt>
                <c:pt idx="110">
                  <c:v>5686</c:v>
                </c:pt>
                <c:pt idx="111">
                  <c:v>4063</c:v>
                </c:pt>
                <c:pt idx="112">
                  <c:v>8966</c:v>
                </c:pt>
                <c:pt idx="113">
                  <c:v>9489</c:v>
                </c:pt>
                <c:pt idx="114">
                  <c:v>9225</c:v>
                </c:pt>
                <c:pt idx="115">
                  <c:v>9249</c:v>
                </c:pt>
                <c:pt idx="116">
                  <c:v>7821</c:v>
                </c:pt>
                <c:pt idx="117">
                  <c:v>8434</c:v>
                </c:pt>
                <c:pt idx="118">
                  <c:v>8512</c:v>
                </c:pt>
                <c:pt idx="119">
                  <c:v>7816</c:v>
                </c:pt>
                <c:pt idx="120">
                  <c:v>3853</c:v>
                </c:pt>
                <c:pt idx="121">
                  <c:v>3694</c:v>
                </c:pt>
                <c:pt idx="122">
                  <c:v>4423</c:v>
                </c:pt>
                <c:pt idx="123">
                  <c:v>1906</c:v>
                </c:pt>
                <c:pt idx="124">
                  <c:v>10396</c:v>
                </c:pt>
                <c:pt idx="125">
                  <c:v>11076</c:v>
                </c:pt>
                <c:pt idx="126">
                  <c:v>9574</c:v>
                </c:pt>
                <c:pt idx="127">
                  <c:v>8221</c:v>
                </c:pt>
                <c:pt idx="128">
                  <c:v>10618</c:v>
                </c:pt>
                <c:pt idx="129">
                  <c:v>10596</c:v>
                </c:pt>
                <c:pt idx="130">
                  <c:v>9619</c:v>
                </c:pt>
                <c:pt idx="131">
                  <c:v>10836</c:v>
                </c:pt>
                <c:pt idx="132">
                  <c:v>3043</c:v>
                </c:pt>
                <c:pt idx="133">
                  <c:v>1814</c:v>
                </c:pt>
                <c:pt idx="134">
                  <c:v>3618</c:v>
                </c:pt>
                <c:pt idx="135">
                  <c:v>1963</c:v>
                </c:pt>
                <c:pt idx="136">
                  <c:v>7888</c:v>
                </c:pt>
                <c:pt idx="137">
                  <c:v>6244</c:v>
                </c:pt>
                <c:pt idx="138">
                  <c:v>6544</c:v>
                </c:pt>
                <c:pt idx="139">
                  <c:v>5465</c:v>
                </c:pt>
                <c:pt idx="140">
                  <c:v>6427</c:v>
                </c:pt>
                <c:pt idx="141">
                  <c:v>6704</c:v>
                </c:pt>
                <c:pt idx="142">
                  <c:v>5645</c:v>
                </c:pt>
                <c:pt idx="143">
                  <c:v>6089</c:v>
                </c:pt>
                <c:pt idx="144">
                  <c:v>4312</c:v>
                </c:pt>
                <c:pt idx="145">
                  <c:v>3152</c:v>
                </c:pt>
                <c:pt idx="146">
                  <c:v>4259</c:v>
                </c:pt>
                <c:pt idx="147">
                  <c:v>3350</c:v>
                </c:pt>
                <c:pt idx="148">
                  <c:v>5329</c:v>
                </c:pt>
                <c:pt idx="149">
                  <c:v>6551</c:v>
                </c:pt>
                <c:pt idx="150">
                  <c:v>5550</c:v>
                </c:pt>
                <c:pt idx="151">
                  <c:v>5911</c:v>
                </c:pt>
                <c:pt idx="152">
                  <c:v>9674</c:v>
                </c:pt>
                <c:pt idx="153">
                  <c:v>6740</c:v>
                </c:pt>
                <c:pt idx="154">
                  <c:v>7745</c:v>
                </c:pt>
                <c:pt idx="155">
                  <c:v>7693</c:v>
                </c:pt>
                <c:pt idx="156">
                  <c:v>6424</c:v>
                </c:pt>
                <c:pt idx="157">
                  <c:v>5400</c:v>
                </c:pt>
                <c:pt idx="158">
                  <c:v>7015</c:v>
                </c:pt>
                <c:pt idx="159">
                  <c:v>3847</c:v>
                </c:pt>
                <c:pt idx="160">
                  <c:v>7455</c:v>
                </c:pt>
                <c:pt idx="161">
                  <c:v>6992</c:v>
                </c:pt>
                <c:pt idx="162">
                  <c:v>8038</c:v>
                </c:pt>
                <c:pt idx="163">
                  <c:v>6055</c:v>
                </c:pt>
                <c:pt idx="164">
                  <c:v>9323</c:v>
                </c:pt>
                <c:pt idx="165">
                  <c:v>8789</c:v>
                </c:pt>
                <c:pt idx="166">
                  <c:v>6939</c:v>
                </c:pt>
                <c:pt idx="167">
                  <c:v>9440</c:v>
                </c:pt>
                <c:pt idx="168">
                  <c:v>9374</c:v>
                </c:pt>
                <c:pt idx="169">
                  <c:v>7576</c:v>
                </c:pt>
                <c:pt idx="170">
                  <c:v>8949</c:v>
                </c:pt>
                <c:pt idx="171">
                  <c:v>7671</c:v>
                </c:pt>
                <c:pt idx="172">
                  <c:v>8741</c:v>
                </c:pt>
                <c:pt idx="173">
                  <c:v>9480</c:v>
                </c:pt>
                <c:pt idx="174">
                  <c:v>9826</c:v>
                </c:pt>
                <c:pt idx="175">
                  <c:v>10402</c:v>
                </c:pt>
                <c:pt idx="176">
                  <c:v>12361</c:v>
                </c:pt>
                <c:pt idx="177">
                  <c:v>7925</c:v>
                </c:pt>
                <c:pt idx="178">
                  <c:v>8870</c:v>
                </c:pt>
                <c:pt idx="179">
                  <c:v>9999</c:v>
                </c:pt>
                <c:pt idx="180">
                  <c:v>11154</c:v>
                </c:pt>
                <c:pt idx="181">
                  <c:v>9287</c:v>
                </c:pt>
                <c:pt idx="182">
                  <c:v>9812</c:v>
                </c:pt>
                <c:pt idx="183">
                  <c:v>10741</c:v>
                </c:pt>
                <c:pt idx="184">
                  <c:v>6084</c:v>
                </c:pt>
                <c:pt idx="185">
                  <c:v>5252</c:v>
                </c:pt>
                <c:pt idx="186">
                  <c:v>6516</c:v>
                </c:pt>
                <c:pt idx="187">
                  <c:v>7932</c:v>
                </c:pt>
                <c:pt idx="188">
                  <c:v>3506</c:v>
                </c:pt>
                <c:pt idx="189">
                  <c:v>2312</c:v>
                </c:pt>
                <c:pt idx="190">
                  <c:v>1268</c:v>
                </c:pt>
                <c:pt idx="191">
                  <c:v>4423</c:v>
                </c:pt>
                <c:pt idx="192">
                  <c:v>6177</c:v>
                </c:pt>
                <c:pt idx="193">
                  <c:v>5150</c:v>
                </c:pt>
                <c:pt idx="194">
                  <c:v>3783</c:v>
                </c:pt>
                <c:pt idx="195">
                  <c:v>3135</c:v>
                </c:pt>
                <c:pt idx="196">
                  <c:v>4970</c:v>
                </c:pt>
                <c:pt idx="197">
                  <c:v>4366</c:v>
                </c:pt>
                <c:pt idx="198">
                  <c:v>5012</c:v>
                </c:pt>
                <c:pt idx="199">
                  <c:v>5575</c:v>
                </c:pt>
                <c:pt idx="200">
                  <c:v>5955</c:v>
                </c:pt>
                <c:pt idx="201">
                  <c:v>6389</c:v>
                </c:pt>
                <c:pt idx="202">
                  <c:v>6896</c:v>
                </c:pt>
                <c:pt idx="203">
                  <c:v>6015</c:v>
                </c:pt>
                <c:pt idx="204">
                  <c:v>9476</c:v>
                </c:pt>
                <c:pt idx="205">
                  <c:v>7875</c:v>
                </c:pt>
                <c:pt idx="206">
                  <c:v>9283</c:v>
                </c:pt>
                <c:pt idx="207">
                  <c:v>8303</c:v>
                </c:pt>
                <c:pt idx="208">
                  <c:v>10125</c:v>
                </c:pt>
                <c:pt idx="209">
                  <c:v>9458</c:v>
                </c:pt>
                <c:pt idx="210">
                  <c:v>12870</c:v>
                </c:pt>
                <c:pt idx="211">
                  <c:v>9752</c:v>
                </c:pt>
                <c:pt idx="212">
                  <c:v>9505</c:v>
                </c:pt>
                <c:pt idx="213">
                  <c:v>9412</c:v>
                </c:pt>
                <c:pt idx="214">
                  <c:v>9644</c:v>
                </c:pt>
                <c:pt idx="215">
                  <c:v>11224</c:v>
                </c:pt>
                <c:pt idx="216">
                  <c:v>5394</c:v>
                </c:pt>
                <c:pt idx="217">
                  <c:v>5014</c:v>
                </c:pt>
                <c:pt idx="218">
                  <c:v>4467</c:v>
                </c:pt>
                <c:pt idx="219">
                  <c:v>4678</c:v>
                </c:pt>
                <c:pt idx="220">
                  <c:v>7291</c:v>
                </c:pt>
                <c:pt idx="221">
                  <c:v>7404</c:v>
                </c:pt>
                <c:pt idx="222">
                  <c:v>7880</c:v>
                </c:pt>
                <c:pt idx="223">
                  <c:v>8773</c:v>
                </c:pt>
                <c:pt idx="224">
                  <c:v>4713</c:v>
                </c:pt>
                <c:pt idx="225">
                  <c:v>2842</c:v>
                </c:pt>
                <c:pt idx="226">
                  <c:v>3872</c:v>
                </c:pt>
                <c:pt idx="227">
                  <c:v>1375</c:v>
                </c:pt>
                <c:pt idx="228">
                  <c:v>5957</c:v>
                </c:pt>
                <c:pt idx="229">
                  <c:v>8961</c:v>
                </c:pt>
                <c:pt idx="230">
                  <c:v>6545</c:v>
                </c:pt>
                <c:pt idx="231">
                  <c:v>5457</c:v>
                </c:pt>
                <c:pt idx="232">
                  <c:v>4264</c:v>
                </c:pt>
                <c:pt idx="233">
                  <c:v>5321</c:v>
                </c:pt>
                <c:pt idx="234">
                  <c:v>5479</c:v>
                </c:pt>
                <c:pt idx="235">
                  <c:v>6169</c:v>
                </c:pt>
                <c:pt idx="236">
                  <c:v>9908</c:v>
                </c:pt>
                <c:pt idx="237">
                  <c:v>9996</c:v>
                </c:pt>
                <c:pt idx="238">
                  <c:v>9702</c:v>
                </c:pt>
                <c:pt idx="239">
                  <c:v>9314</c:v>
                </c:pt>
                <c:pt idx="240">
                  <c:v>8055</c:v>
                </c:pt>
                <c:pt idx="241">
                  <c:v>5648</c:v>
                </c:pt>
                <c:pt idx="242">
                  <c:v>10076</c:v>
                </c:pt>
                <c:pt idx="243">
                  <c:v>8004</c:v>
                </c:pt>
                <c:pt idx="244">
                  <c:v>8934</c:v>
                </c:pt>
                <c:pt idx="245">
                  <c:v>8733</c:v>
                </c:pt>
                <c:pt idx="246">
                  <c:v>7374</c:v>
                </c:pt>
                <c:pt idx="247">
                  <c:v>8119</c:v>
                </c:pt>
                <c:pt idx="248">
                  <c:v>3875</c:v>
                </c:pt>
                <c:pt idx="249">
                  <c:v>5765</c:v>
                </c:pt>
                <c:pt idx="250">
                  <c:v>6322</c:v>
                </c:pt>
                <c:pt idx="251">
                  <c:v>6840</c:v>
                </c:pt>
                <c:pt idx="252">
                  <c:v>6782</c:v>
                </c:pt>
                <c:pt idx="253">
                  <c:v>6856</c:v>
                </c:pt>
                <c:pt idx="254">
                  <c:v>5641</c:v>
                </c:pt>
                <c:pt idx="255">
                  <c:v>5787</c:v>
                </c:pt>
                <c:pt idx="256">
                  <c:v>8165</c:v>
                </c:pt>
                <c:pt idx="257">
                  <c:v>7574</c:v>
                </c:pt>
                <c:pt idx="258">
                  <c:v>8634</c:v>
                </c:pt>
                <c:pt idx="259">
                  <c:v>7836</c:v>
                </c:pt>
                <c:pt idx="260">
                  <c:v>3047</c:v>
                </c:pt>
                <c:pt idx="261">
                  <c:v>4783</c:v>
                </c:pt>
                <c:pt idx="262">
                  <c:v>4902</c:v>
                </c:pt>
                <c:pt idx="263">
                  <c:v>4022</c:v>
                </c:pt>
                <c:pt idx="264">
                  <c:v>7324</c:v>
                </c:pt>
                <c:pt idx="265">
                  <c:v>8129</c:v>
                </c:pt>
                <c:pt idx="266">
                  <c:v>7969</c:v>
                </c:pt>
                <c:pt idx="267">
                  <c:v>7240</c:v>
                </c:pt>
                <c:pt idx="268">
                  <c:v>8052</c:v>
                </c:pt>
                <c:pt idx="269">
                  <c:v>8018</c:v>
                </c:pt>
                <c:pt idx="270">
                  <c:v>10192</c:v>
                </c:pt>
                <c:pt idx="271">
                  <c:v>7446</c:v>
                </c:pt>
                <c:pt idx="272">
                  <c:v>5689</c:v>
                </c:pt>
                <c:pt idx="273">
                  <c:v>3326</c:v>
                </c:pt>
                <c:pt idx="274">
                  <c:v>5767</c:v>
                </c:pt>
                <c:pt idx="275">
                  <c:v>5893</c:v>
                </c:pt>
                <c:pt idx="276">
                  <c:v>8564</c:v>
                </c:pt>
                <c:pt idx="277">
                  <c:v>8001</c:v>
                </c:pt>
                <c:pt idx="278">
                  <c:v>9324</c:v>
                </c:pt>
                <c:pt idx="279">
                  <c:v>9109</c:v>
                </c:pt>
                <c:pt idx="280">
                  <c:v>4022</c:v>
                </c:pt>
                <c:pt idx="281">
                  <c:v>4355</c:v>
                </c:pt>
                <c:pt idx="282">
                  <c:v>5745</c:v>
                </c:pt>
                <c:pt idx="283">
                  <c:v>3027</c:v>
                </c:pt>
                <c:pt idx="284">
                  <c:v>5562</c:v>
                </c:pt>
                <c:pt idx="285">
                  <c:v>4487</c:v>
                </c:pt>
                <c:pt idx="286">
                  <c:v>4162</c:v>
                </c:pt>
                <c:pt idx="287">
                  <c:v>4094</c:v>
                </c:pt>
                <c:pt idx="288">
                  <c:v>8484</c:v>
                </c:pt>
                <c:pt idx="289">
                  <c:v>7794</c:v>
                </c:pt>
                <c:pt idx="290">
                  <c:v>8300</c:v>
                </c:pt>
                <c:pt idx="291">
                  <c:v>7083</c:v>
                </c:pt>
                <c:pt idx="292">
                  <c:v>3834</c:v>
                </c:pt>
                <c:pt idx="293">
                  <c:v>2358</c:v>
                </c:pt>
                <c:pt idx="294">
                  <c:v>1231</c:v>
                </c:pt>
                <c:pt idx="295">
                  <c:v>1723</c:v>
                </c:pt>
                <c:pt idx="296">
                  <c:v>5896</c:v>
                </c:pt>
                <c:pt idx="297">
                  <c:v>5903</c:v>
                </c:pt>
                <c:pt idx="298">
                  <c:v>4898</c:v>
                </c:pt>
                <c:pt idx="299">
                  <c:v>1462</c:v>
                </c:pt>
                <c:pt idx="300">
                  <c:v>8252</c:v>
                </c:pt>
                <c:pt idx="301">
                  <c:v>7989</c:v>
                </c:pt>
                <c:pt idx="302">
                  <c:v>8268</c:v>
                </c:pt>
                <c:pt idx="303">
                  <c:v>8183</c:v>
                </c:pt>
                <c:pt idx="304">
                  <c:v>6534</c:v>
                </c:pt>
                <c:pt idx="305">
                  <c:v>5804</c:v>
                </c:pt>
                <c:pt idx="306">
                  <c:v>6301</c:v>
                </c:pt>
                <c:pt idx="307">
                  <c:v>6399</c:v>
                </c:pt>
                <c:pt idx="308">
                  <c:v>5759</c:v>
                </c:pt>
                <c:pt idx="309">
                  <c:v>5285</c:v>
                </c:pt>
                <c:pt idx="310">
                  <c:v>5434</c:v>
                </c:pt>
                <c:pt idx="311">
                  <c:v>7479</c:v>
                </c:pt>
                <c:pt idx="312">
                  <c:v>6164</c:v>
                </c:pt>
                <c:pt idx="313">
                  <c:v>7973</c:v>
                </c:pt>
                <c:pt idx="314">
                  <c:v>6000</c:v>
                </c:pt>
                <c:pt idx="315">
                  <c:v>9967</c:v>
                </c:pt>
                <c:pt idx="316">
                  <c:v>5639</c:v>
                </c:pt>
                <c:pt idx="317">
                  <c:v>3466</c:v>
                </c:pt>
                <c:pt idx="318">
                  <c:v>7775</c:v>
                </c:pt>
                <c:pt idx="319">
                  <c:v>5317</c:v>
                </c:pt>
              </c:numCache>
            </c:numRef>
          </c:xVal>
          <c:yVal>
            <c:numRef>
              <c:f>store_performance!$P$2:$P$321</c:f>
              <c:numCache>
                <c:formatCode>General</c:formatCode>
                <c:ptCount val="320"/>
                <c:pt idx="0">
                  <c:v>658832.62</c:v>
                </c:pt>
                <c:pt idx="1">
                  <c:v>634436</c:v>
                </c:pt>
                <c:pt idx="2">
                  <c:v>678722.06</c:v>
                </c:pt>
                <c:pt idx="3">
                  <c:v>658920.30000000005</c:v>
                </c:pt>
                <c:pt idx="4">
                  <c:v>741341.44</c:v>
                </c:pt>
                <c:pt idx="5">
                  <c:v>761835.34</c:v>
                </c:pt>
                <c:pt idx="6">
                  <c:v>806615.54</c:v>
                </c:pt>
                <c:pt idx="7">
                  <c:v>850164.26</c:v>
                </c:pt>
                <c:pt idx="8">
                  <c:v>930581.7</c:v>
                </c:pt>
                <c:pt idx="9">
                  <c:v>779010.94</c:v>
                </c:pt>
                <c:pt idx="10">
                  <c:v>723060.76</c:v>
                </c:pt>
                <c:pt idx="11">
                  <c:v>910791.94</c:v>
                </c:pt>
                <c:pt idx="12">
                  <c:v>922168.6</c:v>
                </c:pt>
                <c:pt idx="13">
                  <c:v>726606.28</c:v>
                </c:pt>
                <c:pt idx="14">
                  <c:v>746501.09</c:v>
                </c:pt>
                <c:pt idx="15">
                  <c:v>834017.02</c:v>
                </c:pt>
                <c:pt idx="16">
                  <c:v>666152.52</c:v>
                </c:pt>
                <c:pt idx="17">
                  <c:v>573155.18999999994</c:v>
                </c:pt>
                <c:pt idx="18">
                  <c:v>666573.19999999995</c:v>
                </c:pt>
                <c:pt idx="19">
                  <c:v>591619.94999999995</c:v>
                </c:pt>
                <c:pt idx="20">
                  <c:v>415721.82</c:v>
                </c:pt>
                <c:pt idx="21">
                  <c:v>491905.13</c:v>
                </c:pt>
                <c:pt idx="22">
                  <c:v>555929.4</c:v>
                </c:pt>
                <c:pt idx="23">
                  <c:v>565810.99</c:v>
                </c:pt>
                <c:pt idx="24">
                  <c:v>811771.14</c:v>
                </c:pt>
                <c:pt idx="25">
                  <c:v>800451.94</c:v>
                </c:pt>
                <c:pt idx="26">
                  <c:v>783672.82</c:v>
                </c:pt>
                <c:pt idx="27">
                  <c:v>701641.97</c:v>
                </c:pt>
                <c:pt idx="28">
                  <c:v>511844.41</c:v>
                </c:pt>
                <c:pt idx="29">
                  <c:v>537383.79</c:v>
                </c:pt>
                <c:pt idx="30">
                  <c:v>500173.02</c:v>
                </c:pt>
                <c:pt idx="31">
                  <c:v>427917.38</c:v>
                </c:pt>
                <c:pt idx="32">
                  <c:v>641865.03</c:v>
                </c:pt>
                <c:pt idx="33">
                  <c:v>799477.76000000001</c:v>
                </c:pt>
                <c:pt idx="34">
                  <c:v>798952.17</c:v>
                </c:pt>
                <c:pt idx="35">
                  <c:v>800979.78</c:v>
                </c:pt>
                <c:pt idx="36">
                  <c:v>820593.93</c:v>
                </c:pt>
                <c:pt idx="37">
                  <c:v>718330.53</c:v>
                </c:pt>
                <c:pt idx="38">
                  <c:v>736633.4</c:v>
                </c:pt>
                <c:pt idx="39">
                  <c:v>828623.85</c:v>
                </c:pt>
                <c:pt idx="40">
                  <c:v>592195.85</c:v>
                </c:pt>
                <c:pt idx="41">
                  <c:v>532644.46</c:v>
                </c:pt>
                <c:pt idx="42">
                  <c:v>657429.18000000005</c:v>
                </c:pt>
                <c:pt idx="43">
                  <c:v>605178</c:v>
                </c:pt>
                <c:pt idx="44">
                  <c:v>595467.6</c:v>
                </c:pt>
                <c:pt idx="45">
                  <c:v>599603.4</c:v>
                </c:pt>
                <c:pt idx="46">
                  <c:v>614800.09</c:v>
                </c:pt>
                <c:pt idx="47">
                  <c:v>585365.73</c:v>
                </c:pt>
                <c:pt idx="48">
                  <c:v>622811.74</c:v>
                </c:pt>
                <c:pt idx="49">
                  <c:v>603297.56999999995</c:v>
                </c:pt>
                <c:pt idx="50">
                  <c:v>625672.86</c:v>
                </c:pt>
                <c:pt idx="51">
                  <c:v>773815.14</c:v>
                </c:pt>
                <c:pt idx="52">
                  <c:v>463534.25</c:v>
                </c:pt>
                <c:pt idx="53">
                  <c:v>746677.75</c:v>
                </c:pt>
                <c:pt idx="54">
                  <c:v>720852.5</c:v>
                </c:pt>
                <c:pt idx="55">
                  <c:v>487464.91</c:v>
                </c:pt>
                <c:pt idx="56">
                  <c:v>518049.26</c:v>
                </c:pt>
                <c:pt idx="57">
                  <c:v>500298.48</c:v>
                </c:pt>
                <c:pt idx="58">
                  <c:v>617291.15</c:v>
                </c:pt>
                <c:pt idx="59">
                  <c:v>553756.43000000005</c:v>
                </c:pt>
                <c:pt idx="60">
                  <c:v>749559.71</c:v>
                </c:pt>
                <c:pt idx="61">
                  <c:v>615966.48</c:v>
                </c:pt>
                <c:pt idx="62">
                  <c:v>572011.19999999995</c:v>
                </c:pt>
                <c:pt idx="63">
                  <c:v>761860.19</c:v>
                </c:pt>
                <c:pt idx="64">
                  <c:v>784502.68</c:v>
                </c:pt>
                <c:pt idx="65">
                  <c:v>717141.55</c:v>
                </c:pt>
                <c:pt idx="66">
                  <c:v>685379.08</c:v>
                </c:pt>
                <c:pt idx="67">
                  <c:v>740496.65</c:v>
                </c:pt>
                <c:pt idx="68">
                  <c:v>661927.14</c:v>
                </c:pt>
                <c:pt idx="69">
                  <c:v>479050.5</c:v>
                </c:pt>
                <c:pt idx="70">
                  <c:v>605023.87</c:v>
                </c:pt>
                <c:pt idx="71">
                  <c:v>674774.09</c:v>
                </c:pt>
                <c:pt idx="72">
                  <c:v>616069.41</c:v>
                </c:pt>
                <c:pt idx="73">
                  <c:v>630829.93999999994</c:v>
                </c:pt>
                <c:pt idx="74">
                  <c:v>788087.68</c:v>
                </c:pt>
                <c:pt idx="75">
                  <c:v>680840.36</c:v>
                </c:pt>
                <c:pt idx="76">
                  <c:v>643657.47</c:v>
                </c:pt>
                <c:pt idx="77">
                  <c:v>691112.6</c:v>
                </c:pt>
                <c:pt idx="78">
                  <c:v>776922.17</c:v>
                </c:pt>
                <c:pt idx="79">
                  <c:v>636561.34</c:v>
                </c:pt>
                <c:pt idx="80">
                  <c:v>621369.57999999996</c:v>
                </c:pt>
                <c:pt idx="81">
                  <c:v>682208.01</c:v>
                </c:pt>
                <c:pt idx="82">
                  <c:v>727241.86</c:v>
                </c:pt>
                <c:pt idx="83">
                  <c:v>569100.78</c:v>
                </c:pt>
                <c:pt idx="84">
                  <c:v>574436.29</c:v>
                </c:pt>
                <c:pt idx="85">
                  <c:v>611766.72</c:v>
                </c:pt>
                <c:pt idx="86">
                  <c:v>614596.31999999995</c:v>
                </c:pt>
                <c:pt idx="87">
                  <c:v>450711.92</c:v>
                </c:pt>
                <c:pt idx="88">
                  <c:v>711213.46</c:v>
                </c:pt>
                <c:pt idx="89">
                  <c:v>627171.9</c:v>
                </c:pt>
                <c:pt idx="90">
                  <c:v>739852.58</c:v>
                </c:pt>
                <c:pt idx="91">
                  <c:v>586307.22</c:v>
                </c:pt>
                <c:pt idx="92">
                  <c:v>585937.48</c:v>
                </c:pt>
                <c:pt idx="93">
                  <c:v>753473.55</c:v>
                </c:pt>
                <c:pt idx="94">
                  <c:v>838250.32</c:v>
                </c:pt>
                <c:pt idx="95">
                  <c:v>607898.12</c:v>
                </c:pt>
                <c:pt idx="96">
                  <c:v>691113.62</c:v>
                </c:pt>
                <c:pt idx="97">
                  <c:v>735509.4</c:v>
                </c:pt>
                <c:pt idx="98">
                  <c:v>605775.32999999996</c:v>
                </c:pt>
                <c:pt idx="99">
                  <c:v>675177.68</c:v>
                </c:pt>
                <c:pt idx="100">
                  <c:v>635181.35</c:v>
                </c:pt>
                <c:pt idx="101">
                  <c:v>586626.93999999994</c:v>
                </c:pt>
                <c:pt idx="102">
                  <c:v>740102.64</c:v>
                </c:pt>
                <c:pt idx="103">
                  <c:v>625514.04</c:v>
                </c:pt>
                <c:pt idx="104">
                  <c:v>727227.2</c:v>
                </c:pt>
                <c:pt idx="105">
                  <c:v>783797.89</c:v>
                </c:pt>
                <c:pt idx="106">
                  <c:v>795153.84</c:v>
                </c:pt>
                <c:pt idx="107">
                  <c:v>665594.93999999994</c:v>
                </c:pt>
                <c:pt idx="108">
                  <c:v>709478.39</c:v>
                </c:pt>
                <c:pt idx="109">
                  <c:v>664162.49</c:v>
                </c:pt>
                <c:pt idx="110">
                  <c:v>633494.21</c:v>
                </c:pt>
                <c:pt idx="111">
                  <c:v>713611.16</c:v>
                </c:pt>
                <c:pt idx="112">
                  <c:v>778397.97</c:v>
                </c:pt>
                <c:pt idx="113">
                  <c:v>873380.02</c:v>
                </c:pt>
                <c:pt idx="114">
                  <c:v>697287.9</c:v>
                </c:pt>
                <c:pt idx="115">
                  <c:v>718074.79</c:v>
                </c:pt>
                <c:pt idx="116">
                  <c:v>714942.43</c:v>
                </c:pt>
                <c:pt idx="117">
                  <c:v>820519.04</c:v>
                </c:pt>
                <c:pt idx="118">
                  <c:v>684217.32</c:v>
                </c:pt>
                <c:pt idx="119">
                  <c:v>735480.19</c:v>
                </c:pt>
                <c:pt idx="120">
                  <c:v>509484.81</c:v>
                </c:pt>
                <c:pt idx="121">
                  <c:v>654317.09</c:v>
                </c:pt>
                <c:pt idx="122">
                  <c:v>557487.26</c:v>
                </c:pt>
                <c:pt idx="123">
                  <c:v>441275.42</c:v>
                </c:pt>
                <c:pt idx="124">
                  <c:v>914544.17</c:v>
                </c:pt>
                <c:pt idx="125">
                  <c:v>842439.67</c:v>
                </c:pt>
                <c:pt idx="126">
                  <c:v>842157.92</c:v>
                </c:pt>
                <c:pt idx="127">
                  <c:v>697155.3</c:v>
                </c:pt>
                <c:pt idx="128">
                  <c:v>849018.3</c:v>
                </c:pt>
                <c:pt idx="129">
                  <c:v>801830.35</c:v>
                </c:pt>
                <c:pt idx="130">
                  <c:v>725235.28</c:v>
                </c:pt>
                <c:pt idx="131">
                  <c:v>811452.72</c:v>
                </c:pt>
                <c:pt idx="132">
                  <c:v>527300.13</c:v>
                </c:pt>
                <c:pt idx="133">
                  <c:v>400831.65</c:v>
                </c:pt>
                <c:pt idx="134">
                  <c:v>593247.25</c:v>
                </c:pt>
                <c:pt idx="135">
                  <c:v>529075.94999999995</c:v>
                </c:pt>
                <c:pt idx="136">
                  <c:v>633638.03</c:v>
                </c:pt>
                <c:pt idx="137">
                  <c:v>743348.84</c:v>
                </c:pt>
                <c:pt idx="138">
                  <c:v>758827.64</c:v>
                </c:pt>
                <c:pt idx="139">
                  <c:v>646559.71</c:v>
                </c:pt>
                <c:pt idx="140">
                  <c:v>715890.53</c:v>
                </c:pt>
                <c:pt idx="141">
                  <c:v>715097.57</c:v>
                </c:pt>
                <c:pt idx="142">
                  <c:v>682639.28</c:v>
                </c:pt>
                <c:pt idx="143">
                  <c:v>695098.51</c:v>
                </c:pt>
                <c:pt idx="144">
                  <c:v>577732.56999999995</c:v>
                </c:pt>
                <c:pt idx="145">
                  <c:v>537058.32999999996</c:v>
                </c:pt>
                <c:pt idx="146">
                  <c:v>601568.87</c:v>
                </c:pt>
                <c:pt idx="147">
                  <c:v>570964.84</c:v>
                </c:pt>
                <c:pt idx="148">
                  <c:v>614024.91</c:v>
                </c:pt>
                <c:pt idx="149">
                  <c:v>712868.35</c:v>
                </c:pt>
                <c:pt idx="150">
                  <c:v>696744.15</c:v>
                </c:pt>
                <c:pt idx="151">
                  <c:v>725847.99</c:v>
                </c:pt>
                <c:pt idx="152">
                  <c:v>785028.25</c:v>
                </c:pt>
                <c:pt idx="153">
                  <c:v>698492.67</c:v>
                </c:pt>
                <c:pt idx="154">
                  <c:v>685830.24</c:v>
                </c:pt>
                <c:pt idx="155">
                  <c:v>702318.94</c:v>
                </c:pt>
                <c:pt idx="156">
                  <c:v>700078.32</c:v>
                </c:pt>
                <c:pt idx="157">
                  <c:v>602002.31999999995</c:v>
                </c:pt>
                <c:pt idx="158">
                  <c:v>724216.07</c:v>
                </c:pt>
                <c:pt idx="159">
                  <c:v>620973.03</c:v>
                </c:pt>
                <c:pt idx="160">
                  <c:v>650480.06000000006</c:v>
                </c:pt>
                <c:pt idx="161">
                  <c:v>778298.88</c:v>
                </c:pt>
                <c:pt idx="162">
                  <c:v>677096.71</c:v>
                </c:pt>
                <c:pt idx="163">
                  <c:v>692008.64</c:v>
                </c:pt>
                <c:pt idx="164">
                  <c:v>825797.91</c:v>
                </c:pt>
                <c:pt idx="165">
                  <c:v>706285.52</c:v>
                </c:pt>
                <c:pt idx="166">
                  <c:v>665534.69999999995</c:v>
                </c:pt>
                <c:pt idx="167">
                  <c:v>820729.29</c:v>
                </c:pt>
                <c:pt idx="168">
                  <c:v>739831.73</c:v>
                </c:pt>
                <c:pt idx="169">
                  <c:v>593637.14</c:v>
                </c:pt>
                <c:pt idx="170">
                  <c:v>769702.76</c:v>
                </c:pt>
                <c:pt idx="171">
                  <c:v>679731.57</c:v>
                </c:pt>
                <c:pt idx="172">
                  <c:v>780344.18</c:v>
                </c:pt>
                <c:pt idx="173">
                  <c:v>721364.11</c:v>
                </c:pt>
                <c:pt idx="174">
                  <c:v>758138.29</c:v>
                </c:pt>
                <c:pt idx="175">
                  <c:v>804264</c:v>
                </c:pt>
                <c:pt idx="176">
                  <c:v>887537.75</c:v>
                </c:pt>
                <c:pt idx="177">
                  <c:v>783582</c:v>
                </c:pt>
                <c:pt idx="178">
                  <c:v>781955.52</c:v>
                </c:pt>
                <c:pt idx="179">
                  <c:v>898031.04</c:v>
                </c:pt>
                <c:pt idx="180">
                  <c:v>855341.28</c:v>
                </c:pt>
                <c:pt idx="181">
                  <c:v>751393.88</c:v>
                </c:pt>
                <c:pt idx="182">
                  <c:v>761077.08</c:v>
                </c:pt>
                <c:pt idx="183">
                  <c:v>819660.59</c:v>
                </c:pt>
                <c:pt idx="184">
                  <c:v>681855.56</c:v>
                </c:pt>
                <c:pt idx="185">
                  <c:v>678311.17</c:v>
                </c:pt>
                <c:pt idx="186">
                  <c:v>765906.95</c:v>
                </c:pt>
                <c:pt idx="187">
                  <c:v>712546.38</c:v>
                </c:pt>
                <c:pt idx="188">
                  <c:v>625993.82999999996</c:v>
                </c:pt>
                <c:pt idx="189">
                  <c:v>550962.93000000005</c:v>
                </c:pt>
                <c:pt idx="190">
                  <c:v>443275.59</c:v>
                </c:pt>
                <c:pt idx="191">
                  <c:v>554012.06999999995</c:v>
                </c:pt>
                <c:pt idx="192">
                  <c:v>643428.85</c:v>
                </c:pt>
                <c:pt idx="193">
                  <c:v>611924.27</c:v>
                </c:pt>
                <c:pt idx="194">
                  <c:v>559422.02</c:v>
                </c:pt>
                <c:pt idx="195">
                  <c:v>449465.06</c:v>
                </c:pt>
                <c:pt idx="196">
                  <c:v>691447.43</c:v>
                </c:pt>
                <c:pt idx="197">
                  <c:v>574066.61</c:v>
                </c:pt>
                <c:pt idx="198">
                  <c:v>578949.84</c:v>
                </c:pt>
                <c:pt idx="199">
                  <c:v>735786.64</c:v>
                </c:pt>
                <c:pt idx="200">
                  <c:v>598904.9</c:v>
                </c:pt>
                <c:pt idx="201">
                  <c:v>787715.51</c:v>
                </c:pt>
                <c:pt idx="202">
                  <c:v>607084.92000000004</c:v>
                </c:pt>
                <c:pt idx="203">
                  <c:v>650795.49</c:v>
                </c:pt>
                <c:pt idx="204">
                  <c:v>825060.52</c:v>
                </c:pt>
                <c:pt idx="205">
                  <c:v>795464.47</c:v>
                </c:pt>
                <c:pt idx="206">
                  <c:v>671868.59</c:v>
                </c:pt>
                <c:pt idx="207">
                  <c:v>675917.63</c:v>
                </c:pt>
                <c:pt idx="208">
                  <c:v>810446.53</c:v>
                </c:pt>
                <c:pt idx="209">
                  <c:v>691288.19</c:v>
                </c:pt>
                <c:pt idx="210">
                  <c:v>946833.54</c:v>
                </c:pt>
                <c:pt idx="211">
                  <c:v>761963.23</c:v>
                </c:pt>
                <c:pt idx="212">
                  <c:v>812152.6</c:v>
                </c:pt>
                <c:pt idx="213">
                  <c:v>804975.5</c:v>
                </c:pt>
                <c:pt idx="214">
                  <c:v>752321.72</c:v>
                </c:pt>
                <c:pt idx="215">
                  <c:v>836908.24</c:v>
                </c:pt>
                <c:pt idx="216">
                  <c:v>674289.1</c:v>
                </c:pt>
                <c:pt idx="217">
                  <c:v>622892.42000000004</c:v>
                </c:pt>
                <c:pt idx="218">
                  <c:v>673348.56</c:v>
                </c:pt>
                <c:pt idx="219">
                  <c:v>606278.30000000005</c:v>
                </c:pt>
                <c:pt idx="220">
                  <c:v>712219.81</c:v>
                </c:pt>
                <c:pt idx="221">
                  <c:v>672670.54</c:v>
                </c:pt>
                <c:pt idx="222">
                  <c:v>732667.92</c:v>
                </c:pt>
                <c:pt idx="223">
                  <c:v>723531.4</c:v>
                </c:pt>
                <c:pt idx="224">
                  <c:v>641564.6</c:v>
                </c:pt>
                <c:pt idx="225">
                  <c:v>536545.49</c:v>
                </c:pt>
                <c:pt idx="226">
                  <c:v>527681.56000000006</c:v>
                </c:pt>
                <c:pt idx="227">
                  <c:v>529598.93999999994</c:v>
                </c:pt>
                <c:pt idx="228">
                  <c:v>570963.31000000006</c:v>
                </c:pt>
                <c:pt idx="229">
                  <c:v>870937.4</c:v>
                </c:pt>
                <c:pt idx="230">
                  <c:v>596969.27</c:v>
                </c:pt>
                <c:pt idx="231">
                  <c:v>647512.85</c:v>
                </c:pt>
                <c:pt idx="232">
                  <c:v>658072.14</c:v>
                </c:pt>
                <c:pt idx="233">
                  <c:v>723305.11</c:v>
                </c:pt>
                <c:pt idx="234">
                  <c:v>640666.53</c:v>
                </c:pt>
                <c:pt idx="235">
                  <c:v>670629.48</c:v>
                </c:pt>
                <c:pt idx="236">
                  <c:v>721079.35</c:v>
                </c:pt>
                <c:pt idx="237">
                  <c:v>810355.02</c:v>
                </c:pt>
                <c:pt idx="238">
                  <c:v>761919.25</c:v>
                </c:pt>
                <c:pt idx="239">
                  <c:v>737070.18</c:v>
                </c:pt>
                <c:pt idx="240">
                  <c:v>776992.93</c:v>
                </c:pt>
                <c:pt idx="241">
                  <c:v>676337.41</c:v>
                </c:pt>
                <c:pt idx="242">
                  <c:v>828219.67</c:v>
                </c:pt>
                <c:pt idx="243">
                  <c:v>763159.92</c:v>
                </c:pt>
                <c:pt idx="244">
                  <c:v>802001.68</c:v>
                </c:pt>
                <c:pt idx="245">
                  <c:v>750471.34</c:v>
                </c:pt>
                <c:pt idx="246">
                  <c:v>679230.86</c:v>
                </c:pt>
                <c:pt idx="247">
                  <c:v>679888.74</c:v>
                </c:pt>
                <c:pt idx="248">
                  <c:v>606783.67000000004</c:v>
                </c:pt>
                <c:pt idx="249">
                  <c:v>642751.42000000004</c:v>
                </c:pt>
                <c:pt idx="250">
                  <c:v>647953.78</c:v>
                </c:pt>
                <c:pt idx="251">
                  <c:v>729440.45</c:v>
                </c:pt>
                <c:pt idx="252">
                  <c:v>764949</c:v>
                </c:pt>
                <c:pt idx="253">
                  <c:v>799046.94</c:v>
                </c:pt>
                <c:pt idx="254">
                  <c:v>720079.54</c:v>
                </c:pt>
                <c:pt idx="255">
                  <c:v>612390.14</c:v>
                </c:pt>
                <c:pt idx="256">
                  <c:v>840108.12</c:v>
                </c:pt>
                <c:pt idx="257">
                  <c:v>697888.09</c:v>
                </c:pt>
                <c:pt idx="258">
                  <c:v>746115.59</c:v>
                </c:pt>
                <c:pt idx="259">
                  <c:v>776110.32</c:v>
                </c:pt>
                <c:pt idx="260">
                  <c:v>528852.62</c:v>
                </c:pt>
                <c:pt idx="261">
                  <c:v>605751.32999999996</c:v>
                </c:pt>
                <c:pt idx="262">
                  <c:v>677640.65</c:v>
                </c:pt>
                <c:pt idx="263">
                  <c:v>636613.23</c:v>
                </c:pt>
                <c:pt idx="264">
                  <c:v>708985.19</c:v>
                </c:pt>
                <c:pt idx="265">
                  <c:v>767792.94</c:v>
                </c:pt>
                <c:pt idx="266">
                  <c:v>745580.51</c:v>
                </c:pt>
                <c:pt idx="267">
                  <c:v>762328.31</c:v>
                </c:pt>
                <c:pt idx="268">
                  <c:v>660633.99</c:v>
                </c:pt>
                <c:pt idx="269">
                  <c:v>739374.56</c:v>
                </c:pt>
                <c:pt idx="270">
                  <c:v>799756.46</c:v>
                </c:pt>
                <c:pt idx="271">
                  <c:v>593343</c:v>
                </c:pt>
                <c:pt idx="272">
                  <c:v>645039.97</c:v>
                </c:pt>
                <c:pt idx="273">
                  <c:v>561597.32999999996</c:v>
                </c:pt>
                <c:pt idx="274">
                  <c:v>635837.74</c:v>
                </c:pt>
                <c:pt idx="275">
                  <c:v>686737.87</c:v>
                </c:pt>
                <c:pt idx="276">
                  <c:v>673076.34</c:v>
                </c:pt>
                <c:pt idx="277">
                  <c:v>738548.42</c:v>
                </c:pt>
                <c:pt idx="278">
                  <c:v>756619.77</c:v>
                </c:pt>
                <c:pt idx="279">
                  <c:v>761122.42</c:v>
                </c:pt>
                <c:pt idx="280">
                  <c:v>524899.56999999995</c:v>
                </c:pt>
                <c:pt idx="281">
                  <c:v>555557.77</c:v>
                </c:pt>
                <c:pt idx="282">
                  <c:v>714083.68</c:v>
                </c:pt>
                <c:pt idx="283">
                  <c:v>497439.82</c:v>
                </c:pt>
                <c:pt idx="284">
                  <c:v>636775.66</c:v>
                </c:pt>
                <c:pt idx="285">
                  <c:v>633009.53</c:v>
                </c:pt>
                <c:pt idx="286">
                  <c:v>609949</c:v>
                </c:pt>
                <c:pt idx="287">
                  <c:v>548103.69999999995</c:v>
                </c:pt>
                <c:pt idx="288">
                  <c:v>729424.42</c:v>
                </c:pt>
                <c:pt idx="289">
                  <c:v>696261.49</c:v>
                </c:pt>
                <c:pt idx="290">
                  <c:v>813316.71</c:v>
                </c:pt>
                <c:pt idx="291">
                  <c:v>702068.92</c:v>
                </c:pt>
                <c:pt idx="292">
                  <c:v>546223.69999999995</c:v>
                </c:pt>
                <c:pt idx="293">
                  <c:v>533121.26</c:v>
                </c:pt>
                <c:pt idx="294">
                  <c:v>498970.32</c:v>
                </c:pt>
                <c:pt idx="295">
                  <c:v>487738.26</c:v>
                </c:pt>
                <c:pt idx="296">
                  <c:v>668459.37</c:v>
                </c:pt>
                <c:pt idx="297">
                  <c:v>763162.45</c:v>
                </c:pt>
                <c:pt idx="298">
                  <c:v>599017.32999999996</c:v>
                </c:pt>
                <c:pt idx="299">
                  <c:v>401582.58</c:v>
                </c:pt>
                <c:pt idx="300">
                  <c:v>703812.99</c:v>
                </c:pt>
                <c:pt idx="301">
                  <c:v>724346.73</c:v>
                </c:pt>
                <c:pt idx="302">
                  <c:v>730890.01</c:v>
                </c:pt>
                <c:pt idx="303">
                  <c:v>780580.95</c:v>
                </c:pt>
                <c:pt idx="304">
                  <c:v>727957.48</c:v>
                </c:pt>
                <c:pt idx="305">
                  <c:v>538376</c:v>
                </c:pt>
                <c:pt idx="306">
                  <c:v>665342.49</c:v>
                </c:pt>
                <c:pt idx="307">
                  <c:v>651164.18000000005</c:v>
                </c:pt>
                <c:pt idx="308">
                  <c:v>628538.30000000005</c:v>
                </c:pt>
                <c:pt idx="309">
                  <c:v>536524.84</c:v>
                </c:pt>
                <c:pt idx="310">
                  <c:v>621677.30000000005</c:v>
                </c:pt>
                <c:pt idx="311">
                  <c:v>771129.07</c:v>
                </c:pt>
                <c:pt idx="312">
                  <c:v>702052.47</c:v>
                </c:pt>
                <c:pt idx="313">
                  <c:v>688368.46</c:v>
                </c:pt>
                <c:pt idx="314">
                  <c:v>712375.77</c:v>
                </c:pt>
                <c:pt idx="315">
                  <c:v>844710.67</c:v>
                </c:pt>
                <c:pt idx="316">
                  <c:v>620264.19999999995</c:v>
                </c:pt>
                <c:pt idx="317">
                  <c:v>536845.42000000004</c:v>
                </c:pt>
                <c:pt idx="318">
                  <c:v>726776.22</c:v>
                </c:pt>
                <c:pt idx="319">
                  <c:v>559660.84</c:v>
                </c:pt>
              </c:numCache>
            </c:numRef>
          </c:yVal>
          <c:smooth val="0"/>
          <c:extLst>
            <c:ext xmlns:c16="http://schemas.microsoft.com/office/drawing/2014/chart" uri="{C3380CC4-5D6E-409C-BE32-E72D297353CC}">
              <c16:uniqueId val="{00000000-A6CF-4653-9DEC-AE13F2970529}"/>
            </c:ext>
          </c:extLst>
        </c:ser>
        <c:ser>
          <c:idx val="1"/>
          <c:order val="1"/>
          <c:tx>
            <c:v>Predicted monthly_sales</c:v>
          </c:tx>
          <c:spPr>
            <a:ln w="38100">
              <a:noFill/>
            </a:ln>
          </c:spPr>
          <c:xVal>
            <c:numRef>
              <c:f>store_performance!$I$2:$I$321</c:f>
              <c:numCache>
                <c:formatCode>General</c:formatCode>
                <c:ptCount val="320"/>
                <c:pt idx="0">
                  <c:v>8302</c:v>
                </c:pt>
                <c:pt idx="1">
                  <c:v>8487</c:v>
                </c:pt>
                <c:pt idx="2">
                  <c:v>9113</c:v>
                </c:pt>
                <c:pt idx="3">
                  <c:v>9431</c:v>
                </c:pt>
                <c:pt idx="4">
                  <c:v>9545</c:v>
                </c:pt>
                <c:pt idx="5">
                  <c:v>9792</c:v>
                </c:pt>
                <c:pt idx="6">
                  <c:v>10616</c:v>
                </c:pt>
                <c:pt idx="7">
                  <c:v>8567</c:v>
                </c:pt>
                <c:pt idx="8">
                  <c:v>10979</c:v>
                </c:pt>
                <c:pt idx="9">
                  <c:v>9459</c:v>
                </c:pt>
                <c:pt idx="10">
                  <c:v>9172</c:v>
                </c:pt>
                <c:pt idx="11">
                  <c:v>11230</c:v>
                </c:pt>
                <c:pt idx="12">
                  <c:v>12775</c:v>
                </c:pt>
                <c:pt idx="13">
                  <c:v>10054</c:v>
                </c:pt>
                <c:pt idx="14">
                  <c:v>8895</c:v>
                </c:pt>
                <c:pt idx="15">
                  <c:v>10940</c:v>
                </c:pt>
                <c:pt idx="16">
                  <c:v>7057</c:v>
                </c:pt>
                <c:pt idx="17">
                  <c:v>4263</c:v>
                </c:pt>
                <c:pt idx="18">
                  <c:v>5538</c:v>
                </c:pt>
                <c:pt idx="19">
                  <c:v>4865</c:v>
                </c:pt>
                <c:pt idx="20">
                  <c:v>2822</c:v>
                </c:pt>
                <c:pt idx="21">
                  <c:v>2121</c:v>
                </c:pt>
                <c:pt idx="22">
                  <c:v>3364</c:v>
                </c:pt>
                <c:pt idx="23">
                  <c:v>2613</c:v>
                </c:pt>
                <c:pt idx="24">
                  <c:v>10218</c:v>
                </c:pt>
                <c:pt idx="25">
                  <c:v>8927</c:v>
                </c:pt>
                <c:pt idx="26">
                  <c:v>9315</c:v>
                </c:pt>
                <c:pt idx="27">
                  <c:v>7223</c:v>
                </c:pt>
                <c:pt idx="28">
                  <c:v>3988</c:v>
                </c:pt>
                <c:pt idx="29">
                  <c:v>2390</c:v>
                </c:pt>
                <c:pt idx="30">
                  <c:v>2471</c:v>
                </c:pt>
                <c:pt idx="31">
                  <c:v>971</c:v>
                </c:pt>
                <c:pt idx="32">
                  <c:v>9429</c:v>
                </c:pt>
                <c:pt idx="33">
                  <c:v>11695</c:v>
                </c:pt>
                <c:pt idx="34">
                  <c:v>9449</c:v>
                </c:pt>
                <c:pt idx="35">
                  <c:v>10453</c:v>
                </c:pt>
                <c:pt idx="36">
                  <c:v>8838</c:v>
                </c:pt>
                <c:pt idx="37">
                  <c:v>8156</c:v>
                </c:pt>
                <c:pt idx="38">
                  <c:v>7562</c:v>
                </c:pt>
                <c:pt idx="39">
                  <c:v>9598</c:v>
                </c:pt>
                <c:pt idx="40">
                  <c:v>3660</c:v>
                </c:pt>
                <c:pt idx="41">
                  <c:v>3227</c:v>
                </c:pt>
                <c:pt idx="42">
                  <c:v>3360</c:v>
                </c:pt>
                <c:pt idx="43">
                  <c:v>3642</c:v>
                </c:pt>
                <c:pt idx="44">
                  <c:v>5145</c:v>
                </c:pt>
                <c:pt idx="45">
                  <c:v>4460</c:v>
                </c:pt>
                <c:pt idx="46">
                  <c:v>3804</c:v>
                </c:pt>
                <c:pt idx="47">
                  <c:v>4074</c:v>
                </c:pt>
                <c:pt idx="48">
                  <c:v>5104</c:v>
                </c:pt>
                <c:pt idx="49">
                  <c:v>5559</c:v>
                </c:pt>
                <c:pt idx="50">
                  <c:v>5150</c:v>
                </c:pt>
                <c:pt idx="51">
                  <c:v>7189</c:v>
                </c:pt>
                <c:pt idx="52">
                  <c:v>3279</c:v>
                </c:pt>
                <c:pt idx="53">
                  <c:v>5887</c:v>
                </c:pt>
                <c:pt idx="54">
                  <c:v>5516</c:v>
                </c:pt>
                <c:pt idx="55">
                  <c:v>2863</c:v>
                </c:pt>
                <c:pt idx="56">
                  <c:v>2378</c:v>
                </c:pt>
                <c:pt idx="57">
                  <c:v>2515</c:v>
                </c:pt>
                <c:pt idx="58">
                  <c:v>4022</c:v>
                </c:pt>
                <c:pt idx="59">
                  <c:v>4377</c:v>
                </c:pt>
                <c:pt idx="60">
                  <c:v>5306</c:v>
                </c:pt>
                <c:pt idx="61">
                  <c:v>3928</c:v>
                </c:pt>
                <c:pt idx="62">
                  <c:v>3845</c:v>
                </c:pt>
                <c:pt idx="63">
                  <c:v>6620</c:v>
                </c:pt>
                <c:pt idx="64">
                  <c:v>9175</c:v>
                </c:pt>
                <c:pt idx="65">
                  <c:v>7940</c:v>
                </c:pt>
                <c:pt idx="66">
                  <c:v>9628</c:v>
                </c:pt>
                <c:pt idx="67">
                  <c:v>8296</c:v>
                </c:pt>
                <c:pt idx="68">
                  <c:v>3595</c:v>
                </c:pt>
                <c:pt idx="69">
                  <c:v>2834</c:v>
                </c:pt>
                <c:pt idx="70">
                  <c:v>3193</c:v>
                </c:pt>
                <c:pt idx="71">
                  <c:v>5485</c:v>
                </c:pt>
                <c:pt idx="72">
                  <c:v>5918</c:v>
                </c:pt>
                <c:pt idx="73">
                  <c:v>6821</c:v>
                </c:pt>
                <c:pt idx="74">
                  <c:v>6806</c:v>
                </c:pt>
                <c:pt idx="75">
                  <c:v>8252</c:v>
                </c:pt>
                <c:pt idx="76">
                  <c:v>6662</c:v>
                </c:pt>
                <c:pt idx="77">
                  <c:v>5962</c:v>
                </c:pt>
                <c:pt idx="78">
                  <c:v>7470</c:v>
                </c:pt>
                <c:pt idx="79">
                  <c:v>5974</c:v>
                </c:pt>
                <c:pt idx="80">
                  <c:v>5410</c:v>
                </c:pt>
                <c:pt idx="81">
                  <c:v>4451</c:v>
                </c:pt>
                <c:pt idx="82">
                  <c:v>4644</c:v>
                </c:pt>
                <c:pt idx="83">
                  <c:v>3559</c:v>
                </c:pt>
                <c:pt idx="84">
                  <c:v>3091</c:v>
                </c:pt>
                <c:pt idx="85">
                  <c:v>4004</c:v>
                </c:pt>
                <c:pt idx="86">
                  <c:v>3788</c:v>
                </c:pt>
                <c:pt idx="87">
                  <c:v>1260</c:v>
                </c:pt>
                <c:pt idx="88">
                  <c:v>7024</c:v>
                </c:pt>
                <c:pt idx="89">
                  <c:v>5400</c:v>
                </c:pt>
                <c:pt idx="90">
                  <c:v>5988</c:v>
                </c:pt>
                <c:pt idx="91">
                  <c:v>3701</c:v>
                </c:pt>
                <c:pt idx="92">
                  <c:v>4509</c:v>
                </c:pt>
                <c:pt idx="93">
                  <c:v>6477</c:v>
                </c:pt>
                <c:pt idx="94">
                  <c:v>7970</c:v>
                </c:pt>
                <c:pt idx="95">
                  <c:v>6057</c:v>
                </c:pt>
                <c:pt idx="96">
                  <c:v>6394</c:v>
                </c:pt>
                <c:pt idx="97">
                  <c:v>5150</c:v>
                </c:pt>
                <c:pt idx="98">
                  <c:v>4712</c:v>
                </c:pt>
                <c:pt idx="99">
                  <c:v>5281</c:v>
                </c:pt>
                <c:pt idx="100">
                  <c:v>3642</c:v>
                </c:pt>
                <c:pt idx="101">
                  <c:v>4373</c:v>
                </c:pt>
                <c:pt idx="102">
                  <c:v>6832</c:v>
                </c:pt>
                <c:pt idx="103">
                  <c:v>2414</c:v>
                </c:pt>
                <c:pt idx="104">
                  <c:v>7374</c:v>
                </c:pt>
                <c:pt idx="105">
                  <c:v>8739</c:v>
                </c:pt>
                <c:pt idx="106">
                  <c:v>6992</c:v>
                </c:pt>
                <c:pt idx="107">
                  <c:v>7107</c:v>
                </c:pt>
                <c:pt idx="108">
                  <c:v>6975</c:v>
                </c:pt>
                <c:pt idx="109">
                  <c:v>5493</c:v>
                </c:pt>
                <c:pt idx="110">
                  <c:v>5686</c:v>
                </c:pt>
                <c:pt idx="111">
                  <c:v>4063</c:v>
                </c:pt>
                <c:pt idx="112">
                  <c:v>8966</c:v>
                </c:pt>
                <c:pt idx="113">
                  <c:v>9489</c:v>
                </c:pt>
                <c:pt idx="114">
                  <c:v>9225</c:v>
                </c:pt>
                <c:pt idx="115">
                  <c:v>9249</c:v>
                </c:pt>
                <c:pt idx="116">
                  <c:v>7821</c:v>
                </c:pt>
                <c:pt idx="117">
                  <c:v>8434</c:v>
                </c:pt>
                <c:pt idx="118">
                  <c:v>8512</c:v>
                </c:pt>
                <c:pt idx="119">
                  <c:v>7816</c:v>
                </c:pt>
                <c:pt idx="120">
                  <c:v>3853</c:v>
                </c:pt>
                <c:pt idx="121">
                  <c:v>3694</c:v>
                </c:pt>
                <c:pt idx="122">
                  <c:v>4423</c:v>
                </c:pt>
                <c:pt idx="123">
                  <c:v>1906</c:v>
                </c:pt>
                <c:pt idx="124">
                  <c:v>10396</c:v>
                </c:pt>
                <c:pt idx="125">
                  <c:v>11076</c:v>
                </c:pt>
                <c:pt idx="126">
                  <c:v>9574</c:v>
                </c:pt>
                <c:pt idx="127">
                  <c:v>8221</c:v>
                </c:pt>
                <c:pt idx="128">
                  <c:v>10618</c:v>
                </c:pt>
                <c:pt idx="129">
                  <c:v>10596</c:v>
                </c:pt>
                <c:pt idx="130">
                  <c:v>9619</c:v>
                </c:pt>
                <c:pt idx="131">
                  <c:v>10836</c:v>
                </c:pt>
                <c:pt idx="132">
                  <c:v>3043</c:v>
                </c:pt>
                <c:pt idx="133">
                  <c:v>1814</c:v>
                </c:pt>
                <c:pt idx="134">
                  <c:v>3618</c:v>
                </c:pt>
                <c:pt idx="135">
                  <c:v>1963</c:v>
                </c:pt>
                <c:pt idx="136">
                  <c:v>7888</c:v>
                </c:pt>
                <c:pt idx="137">
                  <c:v>6244</c:v>
                </c:pt>
                <c:pt idx="138">
                  <c:v>6544</c:v>
                </c:pt>
                <c:pt idx="139">
                  <c:v>5465</c:v>
                </c:pt>
                <c:pt idx="140">
                  <c:v>6427</c:v>
                </c:pt>
                <c:pt idx="141">
                  <c:v>6704</c:v>
                </c:pt>
                <c:pt idx="142">
                  <c:v>5645</c:v>
                </c:pt>
                <c:pt idx="143">
                  <c:v>6089</c:v>
                </c:pt>
                <c:pt idx="144">
                  <c:v>4312</c:v>
                </c:pt>
                <c:pt idx="145">
                  <c:v>3152</c:v>
                </c:pt>
                <c:pt idx="146">
                  <c:v>4259</c:v>
                </c:pt>
                <c:pt idx="147">
                  <c:v>3350</c:v>
                </c:pt>
                <c:pt idx="148">
                  <c:v>5329</c:v>
                </c:pt>
                <c:pt idx="149">
                  <c:v>6551</c:v>
                </c:pt>
                <c:pt idx="150">
                  <c:v>5550</c:v>
                </c:pt>
                <c:pt idx="151">
                  <c:v>5911</c:v>
                </c:pt>
                <c:pt idx="152">
                  <c:v>9674</c:v>
                </c:pt>
                <c:pt idx="153">
                  <c:v>6740</c:v>
                </c:pt>
                <c:pt idx="154">
                  <c:v>7745</c:v>
                </c:pt>
                <c:pt idx="155">
                  <c:v>7693</c:v>
                </c:pt>
                <c:pt idx="156">
                  <c:v>6424</c:v>
                </c:pt>
                <c:pt idx="157">
                  <c:v>5400</c:v>
                </c:pt>
                <c:pt idx="158">
                  <c:v>7015</c:v>
                </c:pt>
                <c:pt idx="159">
                  <c:v>3847</c:v>
                </c:pt>
                <c:pt idx="160">
                  <c:v>7455</c:v>
                </c:pt>
                <c:pt idx="161">
                  <c:v>6992</c:v>
                </c:pt>
                <c:pt idx="162">
                  <c:v>8038</c:v>
                </c:pt>
                <c:pt idx="163">
                  <c:v>6055</c:v>
                </c:pt>
                <c:pt idx="164">
                  <c:v>9323</c:v>
                </c:pt>
                <c:pt idx="165">
                  <c:v>8789</c:v>
                </c:pt>
                <c:pt idx="166">
                  <c:v>6939</c:v>
                </c:pt>
                <c:pt idx="167">
                  <c:v>9440</c:v>
                </c:pt>
                <c:pt idx="168">
                  <c:v>9374</c:v>
                </c:pt>
                <c:pt idx="169">
                  <c:v>7576</c:v>
                </c:pt>
                <c:pt idx="170">
                  <c:v>8949</c:v>
                </c:pt>
                <c:pt idx="171">
                  <c:v>7671</c:v>
                </c:pt>
                <c:pt idx="172">
                  <c:v>8741</c:v>
                </c:pt>
                <c:pt idx="173">
                  <c:v>9480</c:v>
                </c:pt>
                <c:pt idx="174">
                  <c:v>9826</c:v>
                </c:pt>
                <c:pt idx="175">
                  <c:v>10402</c:v>
                </c:pt>
                <c:pt idx="176">
                  <c:v>12361</c:v>
                </c:pt>
                <c:pt idx="177">
                  <c:v>7925</c:v>
                </c:pt>
                <c:pt idx="178">
                  <c:v>8870</c:v>
                </c:pt>
                <c:pt idx="179">
                  <c:v>9999</c:v>
                </c:pt>
                <c:pt idx="180">
                  <c:v>11154</c:v>
                </c:pt>
                <c:pt idx="181">
                  <c:v>9287</c:v>
                </c:pt>
                <c:pt idx="182">
                  <c:v>9812</c:v>
                </c:pt>
                <c:pt idx="183">
                  <c:v>10741</c:v>
                </c:pt>
                <c:pt idx="184">
                  <c:v>6084</c:v>
                </c:pt>
                <c:pt idx="185">
                  <c:v>5252</c:v>
                </c:pt>
                <c:pt idx="186">
                  <c:v>6516</c:v>
                </c:pt>
                <c:pt idx="187">
                  <c:v>7932</c:v>
                </c:pt>
                <c:pt idx="188">
                  <c:v>3506</c:v>
                </c:pt>
                <c:pt idx="189">
                  <c:v>2312</c:v>
                </c:pt>
                <c:pt idx="190">
                  <c:v>1268</c:v>
                </c:pt>
                <c:pt idx="191">
                  <c:v>4423</c:v>
                </c:pt>
                <c:pt idx="192">
                  <c:v>6177</c:v>
                </c:pt>
                <c:pt idx="193">
                  <c:v>5150</c:v>
                </c:pt>
                <c:pt idx="194">
                  <c:v>3783</c:v>
                </c:pt>
                <c:pt idx="195">
                  <c:v>3135</c:v>
                </c:pt>
                <c:pt idx="196">
                  <c:v>4970</c:v>
                </c:pt>
                <c:pt idx="197">
                  <c:v>4366</c:v>
                </c:pt>
                <c:pt idx="198">
                  <c:v>5012</c:v>
                </c:pt>
                <c:pt idx="199">
                  <c:v>5575</c:v>
                </c:pt>
                <c:pt idx="200">
                  <c:v>5955</c:v>
                </c:pt>
                <c:pt idx="201">
                  <c:v>6389</c:v>
                </c:pt>
                <c:pt idx="202">
                  <c:v>6896</c:v>
                </c:pt>
                <c:pt idx="203">
                  <c:v>6015</c:v>
                </c:pt>
                <c:pt idx="204">
                  <c:v>9476</c:v>
                </c:pt>
                <c:pt idx="205">
                  <c:v>7875</c:v>
                </c:pt>
                <c:pt idx="206">
                  <c:v>9283</c:v>
                </c:pt>
                <c:pt idx="207">
                  <c:v>8303</c:v>
                </c:pt>
                <c:pt idx="208">
                  <c:v>10125</c:v>
                </c:pt>
                <c:pt idx="209">
                  <c:v>9458</c:v>
                </c:pt>
                <c:pt idx="210">
                  <c:v>12870</c:v>
                </c:pt>
                <c:pt idx="211">
                  <c:v>9752</c:v>
                </c:pt>
                <c:pt idx="212">
                  <c:v>9505</c:v>
                </c:pt>
                <c:pt idx="213">
                  <c:v>9412</c:v>
                </c:pt>
                <c:pt idx="214">
                  <c:v>9644</c:v>
                </c:pt>
                <c:pt idx="215">
                  <c:v>11224</c:v>
                </c:pt>
                <c:pt idx="216">
                  <c:v>5394</c:v>
                </c:pt>
                <c:pt idx="217">
                  <c:v>5014</c:v>
                </c:pt>
                <c:pt idx="218">
                  <c:v>4467</c:v>
                </c:pt>
                <c:pt idx="219">
                  <c:v>4678</c:v>
                </c:pt>
                <c:pt idx="220">
                  <c:v>7291</c:v>
                </c:pt>
                <c:pt idx="221">
                  <c:v>7404</c:v>
                </c:pt>
                <c:pt idx="222">
                  <c:v>7880</c:v>
                </c:pt>
                <c:pt idx="223">
                  <c:v>8773</c:v>
                </c:pt>
                <c:pt idx="224">
                  <c:v>4713</c:v>
                </c:pt>
                <c:pt idx="225">
                  <c:v>2842</c:v>
                </c:pt>
                <c:pt idx="226">
                  <c:v>3872</c:v>
                </c:pt>
                <c:pt idx="227">
                  <c:v>1375</c:v>
                </c:pt>
                <c:pt idx="228">
                  <c:v>5957</c:v>
                </c:pt>
                <c:pt idx="229">
                  <c:v>8961</c:v>
                </c:pt>
                <c:pt idx="230">
                  <c:v>6545</c:v>
                </c:pt>
                <c:pt idx="231">
                  <c:v>5457</c:v>
                </c:pt>
                <c:pt idx="232">
                  <c:v>4264</c:v>
                </c:pt>
                <c:pt idx="233">
                  <c:v>5321</c:v>
                </c:pt>
                <c:pt idx="234">
                  <c:v>5479</c:v>
                </c:pt>
                <c:pt idx="235">
                  <c:v>6169</c:v>
                </c:pt>
                <c:pt idx="236">
                  <c:v>9908</c:v>
                </c:pt>
                <c:pt idx="237">
                  <c:v>9996</c:v>
                </c:pt>
                <c:pt idx="238">
                  <c:v>9702</c:v>
                </c:pt>
                <c:pt idx="239">
                  <c:v>9314</c:v>
                </c:pt>
                <c:pt idx="240">
                  <c:v>8055</c:v>
                </c:pt>
                <c:pt idx="241">
                  <c:v>5648</c:v>
                </c:pt>
                <c:pt idx="242">
                  <c:v>10076</c:v>
                </c:pt>
                <c:pt idx="243">
                  <c:v>8004</c:v>
                </c:pt>
                <c:pt idx="244">
                  <c:v>8934</c:v>
                </c:pt>
                <c:pt idx="245">
                  <c:v>8733</c:v>
                </c:pt>
                <c:pt idx="246">
                  <c:v>7374</c:v>
                </c:pt>
                <c:pt idx="247">
                  <c:v>8119</c:v>
                </c:pt>
                <c:pt idx="248">
                  <c:v>3875</c:v>
                </c:pt>
                <c:pt idx="249">
                  <c:v>5765</c:v>
                </c:pt>
                <c:pt idx="250">
                  <c:v>6322</c:v>
                </c:pt>
                <c:pt idx="251">
                  <c:v>6840</c:v>
                </c:pt>
                <c:pt idx="252">
                  <c:v>6782</c:v>
                </c:pt>
                <c:pt idx="253">
                  <c:v>6856</c:v>
                </c:pt>
                <c:pt idx="254">
                  <c:v>5641</c:v>
                </c:pt>
                <c:pt idx="255">
                  <c:v>5787</c:v>
                </c:pt>
                <c:pt idx="256">
                  <c:v>8165</c:v>
                </c:pt>
                <c:pt idx="257">
                  <c:v>7574</c:v>
                </c:pt>
                <c:pt idx="258">
                  <c:v>8634</c:v>
                </c:pt>
                <c:pt idx="259">
                  <c:v>7836</c:v>
                </c:pt>
                <c:pt idx="260">
                  <c:v>3047</c:v>
                </c:pt>
                <c:pt idx="261">
                  <c:v>4783</c:v>
                </c:pt>
                <c:pt idx="262">
                  <c:v>4902</c:v>
                </c:pt>
                <c:pt idx="263">
                  <c:v>4022</c:v>
                </c:pt>
                <c:pt idx="264">
                  <c:v>7324</c:v>
                </c:pt>
                <c:pt idx="265">
                  <c:v>8129</c:v>
                </c:pt>
                <c:pt idx="266">
                  <c:v>7969</c:v>
                </c:pt>
                <c:pt idx="267">
                  <c:v>7240</c:v>
                </c:pt>
                <c:pt idx="268">
                  <c:v>8052</c:v>
                </c:pt>
                <c:pt idx="269">
                  <c:v>8018</c:v>
                </c:pt>
                <c:pt idx="270">
                  <c:v>10192</c:v>
                </c:pt>
                <c:pt idx="271">
                  <c:v>7446</c:v>
                </c:pt>
                <c:pt idx="272">
                  <c:v>5689</c:v>
                </c:pt>
                <c:pt idx="273">
                  <c:v>3326</c:v>
                </c:pt>
                <c:pt idx="274">
                  <c:v>5767</c:v>
                </c:pt>
                <c:pt idx="275">
                  <c:v>5893</c:v>
                </c:pt>
                <c:pt idx="276">
                  <c:v>8564</c:v>
                </c:pt>
                <c:pt idx="277">
                  <c:v>8001</c:v>
                </c:pt>
                <c:pt idx="278">
                  <c:v>9324</c:v>
                </c:pt>
                <c:pt idx="279">
                  <c:v>9109</c:v>
                </c:pt>
                <c:pt idx="280">
                  <c:v>4022</c:v>
                </c:pt>
                <c:pt idx="281">
                  <c:v>4355</c:v>
                </c:pt>
                <c:pt idx="282">
                  <c:v>5745</c:v>
                </c:pt>
                <c:pt idx="283">
                  <c:v>3027</c:v>
                </c:pt>
                <c:pt idx="284">
                  <c:v>5562</c:v>
                </c:pt>
                <c:pt idx="285">
                  <c:v>4487</c:v>
                </c:pt>
                <c:pt idx="286">
                  <c:v>4162</c:v>
                </c:pt>
                <c:pt idx="287">
                  <c:v>4094</c:v>
                </c:pt>
                <c:pt idx="288">
                  <c:v>8484</c:v>
                </c:pt>
                <c:pt idx="289">
                  <c:v>7794</c:v>
                </c:pt>
                <c:pt idx="290">
                  <c:v>8300</c:v>
                </c:pt>
                <c:pt idx="291">
                  <c:v>7083</c:v>
                </c:pt>
                <c:pt idx="292">
                  <c:v>3834</c:v>
                </c:pt>
                <c:pt idx="293">
                  <c:v>2358</c:v>
                </c:pt>
                <c:pt idx="294">
                  <c:v>1231</c:v>
                </c:pt>
                <c:pt idx="295">
                  <c:v>1723</c:v>
                </c:pt>
                <c:pt idx="296">
                  <c:v>5896</c:v>
                </c:pt>
                <c:pt idx="297">
                  <c:v>5903</c:v>
                </c:pt>
                <c:pt idx="298">
                  <c:v>4898</c:v>
                </c:pt>
                <c:pt idx="299">
                  <c:v>1462</c:v>
                </c:pt>
                <c:pt idx="300">
                  <c:v>8252</c:v>
                </c:pt>
                <c:pt idx="301">
                  <c:v>7989</c:v>
                </c:pt>
                <c:pt idx="302">
                  <c:v>8268</c:v>
                </c:pt>
                <c:pt idx="303">
                  <c:v>8183</c:v>
                </c:pt>
                <c:pt idx="304">
                  <c:v>6534</c:v>
                </c:pt>
                <c:pt idx="305">
                  <c:v>5804</c:v>
                </c:pt>
                <c:pt idx="306">
                  <c:v>6301</c:v>
                </c:pt>
                <c:pt idx="307">
                  <c:v>6399</c:v>
                </c:pt>
                <c:pt idx="308">
                  <c:v>5759</c:v>
                </c:pt>
                <c:pt idx="309">
                  <c:v>5285</c:v>
                </c:pt>
                <c:pt idx="310">
                  <c:v>5434</c:v>
                </c:pt>
                <c:pt idx="311">
                  <c:v>7479</c:v>
                </c:pt>
                <c:pt idx="312">
                  <c:v>6164</c:v>
                </c:pt>
                <c:pt idx="313">
                  <c:v>7973</c:v>
                </c:pt>
                <c:pt idx="314">
                  <c:v>6000</c:v>
                </c:pt>
                <c:pt idx="315">
                  <c:v>9967</c:v>
                </c:pt>
                <c:pt idx="316">
                  <c:v>5639</c:v>
                </c:pt>
                <c:pt idx="317">
                  <c:v>3466</c:v>
                </c:pt>
                <c:pt idx="318">
                  <c:v>7775</c:v>
                </c:pt>
                <c:pt idx="319">
                  <c:v>5317</c:v>
                </c:pt>
              </c:numCache>
            </c:numRef>
          </c:xVal>
          <c:yVal>
            <c:numRef>
              <c:f>'Multiple Regression'!$B$28:$B$347</c:f>
              <c:numCache>
                <c:formatCode>General</c:formatCode>
                <c:ptCount val="320"/>
                <c:pt idx="0">
                  <c:v>759253.24684002204</c:v>
                </c:pt>
                <c:pt idx="1">
                  <c:v>724088.88741891354</c:v>
                </c:pt>
                <c:pt idx="2">
                  <c:v>766507.94313322054</c:v>
                </c:pt>
                <c:pt idx="3">
                  <c:v>772897.71900166175</c:v>
                </c:pt>
                <c:pt idx="4">
                  <c:v>759236.59464102832</c:v>
                </c:pt>
                <c:pt idx="5">
                  <c:v>796720.31007738272</c:v>
                </c:pt>
                <c:pt idx="6">
                  <c:v>802335.8679897195</c:v>
                </c:pt>
                <c:pt idx="7">
                  <c:v>758071.44304781524</c:v>
                </c:pt>
                <c:pt idx="8">
                  <c:v>835434.41920816887</c:v>
                </c:pt>
                <c:pt idx="9">
                  <c:v>779757.95342221716</c:v>
                </c:pt>
                <c:pt idx="10">
                  <c:v>732240.09336047294</c:v>
                </c:pt>
                <c:pt idx="11">
                  <c:v>858332.73444093473</c:v>
                </c:pt>
                <c:pt idx="12">
                  <c:v>904472.23671232129</c:v>
                </c:pt>
                <c:pt idx="13">
                  <c:v>792157.7336249795</c:v>
                </c:pt>
                <c:pt idx="14">
                  <c:v>750763.6372104754</c:v>
                </c:pt>
                <c:pt idx="15">
                  <c:v>856578.33559523558</c:v>
                </c:pt>
                <c:pt idx="16">
                  <c:v>696187.51978787174</c:v>
                </c:pt>
                <c:pt idx="17">
                  <c:v>604044.08636361035</c:v>
                </c:pt>
                <c:pt idx="18">
                  <c:v>679803.05628015031</c:v>
                </c:pt>
                <c:pt idx="19">
                  <c:v>600688.60144134983</c:v>
                </c:pt>
                <c:pt idx="20">
                  <c:v>513040.10744009679</c:v>
                </c:pt>
                <c:pt idx="21">
                  <c:v>497979.69129420089</c:v>
                </c:pt>
                <c:pt idx="22">
                  <c:v>551069.71313189634</c:v>
                </c:pt>
                <c:pt idx="23">
                  <c:v>543419.12236561731</c:v>
                </c:pt>
                <c:pt idx="24">
                  <c:v>812565.49043710809</c:v>
                </c:pt>
                <c:pt idx="25">
                  <c:v>898051.23582480138</c:v>
                </c:pt>
                <c:pt idx="26">
                  <c:v>775245.63440210547</c:v>
                </c:pt>
                <c:pt idx="27">
                  <c:v>706283.45886854373</c:v>
                </c:pt>
                <c:pt idx="28">
                  <c:v>605158.20946146618</c:v>
                </c:pt>
                <c:pt idx="29">
                  <c:v>537204.04035061027</c:v>
                </c:pt>
                <c:pt idx="30">
                  <c:v>526296.32098283502</c:v>
                </c:pt>
                <c:pt idx="31">
                  <c:v>501379.52422424307</c:v>
                </c:pt>
                <c:pt idx="32">
                  <c:v>766187.26204522606</c:v>
                </c:pt>
                <c:pt idx="33">
                  <c:v>874507.07742523763</c:v>
                </c:pt>
                <c:pt idx="34">
                  <c:v>802596.20434615877</c:v>
                </c:pt>
                <c:pt idx="35">
                  <c:v>792927.65188130992</c:v>
                </c:pt>
                <c:pt idx="36">
                  <c:v>778368.14888233808</c:v>
                </c:pt>
                <c:pt idx="37">
                  <c:v>733855.29202742875</c:v>
                </c:pt>
                <c:pt idx="38">
                  <c:v>746754.99445505836</c:v>
                </c:pt>
                <c:pt idx="39">
                  <c:v>792828.50376580923</c:v>
                </c:pt>
                <c:pt idx="40">
                  <c:v>553815.71599239821</c:v>
                </c:pt>
                <c:pt idx="41">
                  <c:v>552363.91092902678</c:v>
                </c:pt>
                <c:pt idx="42">
                  <c:v>583130.23449921724</c:v>
                </c:pt>
                <c:pt idx="43">
                  <c:v>598613.62488444475</c:v>
                </c:pt>
                <c:pt idx="44">
                  <c:v>740017.19982507743</c:v>
                </c:pt>
                <c:pt idx="45">
                  <c:v>615953.26271995006</c:v>
                </c:pt>
                <c:pt idx="46">
                  <c:v>589283.50181044894</c:v>
                </c:pt>
                <c:pt idx="47">
                  <c:v>585582.99740525964</c:v>
                </c:pt>
                <c:pt idx="48">
                  <c:v>618945.0746485847</c:v>
                </c:pt>
                <c:pt idx="49">
                  <c:v>628074.76341009943</c:v>
                </c:pt>
                <c:pt idx="50">
                  <c:v>631326.36182459712</c:v>
                </c:pt>
                <c:pt idx="51">
                  <c:v>715412.13787139801</c:v>
                </c:pt>
                <c:pt idx="52">
                  <c:v>577345.19625542732</c:v>
                </c:pt>
                <c:pt idx="53">
                  <c:v>702688.90618276584</c:v>
                </c:pt>
                <c:pt idx="54">
                  <c:v>682803.72982668539</c:v>
                </c:pt>
                <c:pt idx="55">
                  <c:v>535327.6293270418</c:v>
                </c:pt>
                <c:pt idx="56">
                  <c:v>506091.56565574498</c:v>
                </c:pt>
                <c:pt idx="57">
                  <c:v>552785.03618469054</c:v>
                </c:pt>
                <c:pt idx="58">
                  <c:v>662379.04719693714</c:v>
                </c:pt>
                <c:pt idx="59">
                  <c:v>603247.6109173923</c:v>
                </c:pt>
                <c:pt idx="60">
                  <c:v>662062.42522868712</c:v>
                </c:pt>
                <c:pt idx="61">
                  <c:v>571948.29505419917</c:v>
                </c:pt>
                <c:pt idx="62">
                  <c:v>580563.52884178422</c:v>
                </c:pt>
                <c:pt idx="63">
                  <c:v>706927.94013163366</c:v>
                </c:pt>
                <c:pt idx="64">
                  <c:v>792838.97017956094</c:v>
                </c:pt>
                <c:pt idx="65">
                  <c:v>725556.4599775098</c:v>
                </c:pt>
                <c:pt idx="66">
                  <c:v>819072.60211727698</c:v>
                </c:pt>
                <c:pt idx="67">
                  <c:v>730750.18012194824</c:v>
                </c:pt>
                <c:pt idx="68">
                  <c:v>593119.7795825646</c:v>
                </c:pt>
                <c:pt idx="69">
                  <c:v>524330.7831562598</c:v>
                </c:pt>
                <c:pt idx="70">
                  <c:v>562875.9602944284</c:v>
                </c:pt>
                <c:pt idx="71">
                  <c:v>647818.72948404215</c:v>
                </c:pt>
                <c:pt idx="72">
                  <c:v>630907.91585517745</c:v>
                </c:pt>
                <c:pt idx="73">
                  <c:v>688504.89336035785</c:v>
                </c:pt>
                <c:pt idx="74">
                  <c:v>696718.12650027801</c:v>
                </c:pt>
                <c:pt idx="75">
                  <c:v>730076.04365540436</c:v>
                </c:pt>
                <c:pt idx="76">
                  <c:v>683808.92170223896</c:v>
                </c:pt>
                <c:pt idx="77">
                  <c:v>661112.44054119417</c:v>
                </c:pt>
                <c:pt idx="78">
                  <c:v>731387.74082880386</c:v>
                </c:pt>
                <c:pt idx="79">
                  <c:v>671174.46951776755</c:v>
                </c:pt>
                <c:pt idx="80">
                  <c:v>649671.81003948452</c:v>
                </c:pt>
                <c:pt idx="81">
                  <c:v>624634.87436339329</c:v>
                </c:pt>
                <c:pt idx="82">
                  <c:v>645854.76789813407</c:v>
                </c:pt>
                <c:pt idx="83">
                  <c:v>572976.19138436322</c:v>
                </c:pt>
                <c:pt idx="84">
                  <c:v>571874.29421008227</c:v>
                </c:pt>
                <c:pt idx="85">
                  <c:v>631443.10125977884</c:v>
                </c:pt>
                <c:pt idx="86">
                  <c:v>625594.81935702427</c:v>
                </c:pt>
                <c:pt idx="87">
                  <c:v>465742.24574978818</c:v>
                </c:pt>
                <c:pt idx="88">
                  <c:v>694903.9015182209</c:v>
                </c:pt>
                <c:pt idx="89">
                  <c:v>745355.81577245321</c:v>
                </c:pt>
                <c:pt idx="90">
                  <c:v>695101.78459193441</c:v>
                </c:pt>
                <c:pt idx="91">
                  <c:v>560161.28855737578</c:v>
                </c:pt>
                <c:pt idx="92">
                  <c:v>593172.35977984429</c:v>
                </c:pt>
                <c:pt idx="93">
                  <c:v>708798.30072281603</c:v>
                </c:pt>
                <c:pt idx="94">
                  <c:v>774039.61000620225</c:v>
                </c:pt>
                <c:pt idx="95">
                  <c:v>622277.08413821214</c:v>
                </c:pt>
                <c:pt idx="96">
                  <c:v>684402.13874837046</c:v>
                </c:pt>
                <c:pt idx="97">
                  <c:v>662082.33835508279</c:v>
                </c:pt>
                <c:pt idx="98">
                  <c:v>610281.52325340686</c:v>
                </c:pt>
                <c:pt idx="99">
                  <c:v>637881.30045458721</c:v>
                </c:pt>
                <c:pt idx="100">
                  <c:v>573591.85722221667</c:v>
                </c:pt>
                <c:pt idx="101">
                  <c:v>607485.66332538985</c:v>
                </c:pt>
                <c:pt idx="102">
                  <c:v>719653.57481289178</c:v>
                </c:pt>
                <c:pt idx="103">
                  <c:v>514891.48478379007</c:v>
                </c:pt>
                <c:pt idx="104">
                  <c:v>718954.26800603489</c:v>
                </c:pt>
                <c:pt idx="105">
                  <c:v>787998.53508703667</c:v>
                </c:pt>
                <c:pt idx="106">
                  <c:v>710727.8799442465</c:v>
                </c:pt>
                <c:pt idx="107">
                  <c:v>684023.13806358795</c:v>
                </c:pt>
                <c:pt idx="108">
                  <c:v>710074.97455591417</c:v>
                </c:pt>
                <c:pt idx="109">
                  <c:v>641717.71048944036</c:v>
                </c:pt>
                <c:pt idx="110">
                  <c:v>645292.81717054453</c:v>
                </c:pt>
                <c:pt idx="111">
                  <c:v>595587.07154807204</c:v>
                </c:pt>
                <c:pt idx="112">
                  <c:v>770179.60444179678</c:v>
                </c:pt>
                <c:pt idx="113">
                  <c:v>811809.12660692108</c:v>
                </c:pt>
                <c:pt idx="114">
                  <c:v>748464.59572233551</c:v>
                </c:pt>
                <c:pt idx="115">
                  <c:v>742379.18652536208</c:v>
                </c:pt>
                <c:pt idx="116">
                  <c:v>710060.88802308042</c:v>
                </c:pt>
                <c:pt idx="117">
                  <c:v>749646.07640429819</c:v>
                </c:pt>
                <c:pt idx="118">
                  <c:v>736857.78026991279</c:v>
                </c:pt>
                <c:pt idx="119">
                  <c:v>719009.66248009726</c:v>
                </c:pt>
                <c:pt idx="120">
                  <c:v>575712.08829801157</c:v>
                </c:pt>
                <c:pt idx="121">
                  <c:v>622702.20254863496</c:v>
                </c:pt>
                <c:pt idx="122">
                  <c:v>601645.73356804578</c:v>
                </c:pt>
                <c:pt idx="123">
                  <c:v>470776.82543624792</c:v>
                </c:pt>
                <c:pt idx="124">
                  <c:v>812299.43192425638</c:v>
                </c:pt>
                <c:pt idx="125">
                  <c:v>811325.21556025825</c:v>
                </c:pt>
                <c:pt idx="126">
                  <c:v>771821.39985198283</c:v>
                </c:pt>
                <c:pt idx="127">
                  <c:v>714712.2953581257</c:v>
                </c:pt>
                <c:pt idx="128">
                  <c:v>823425.34091719228</c:v>
                </c:pt>
                <c:pt idx="129">
                  <c:v>819388.08039829205</c:v>
                </c:pt>
                <c:pt idx="130">
                  <c:v>772067.72180727171</c:v>
                </c:pt>
                <c:pt idx="131">
                  <c:v>835669.68691974832</c:v>
                </c:pt>
                <c:pt idx="132">
                  <c:v>579330.88028028875</c:v>
                </c:pt>
                <c:pt idx="133">
                  <c:v>472882.06450583047</c:v>
                </c:pt>
                <c:pt idx="134">
                  <c:v>577544.90982965683</c:v>
                </c:pt>
                <c:pt idx="135">
                  <c:v>534062.08478965738</c:v>
                </c:pt>
                <c:pt idx="136">
                  <c:v>745885.75903956871</c:v>
                </c:pt>
                <c:pt idx="137">
                  <c:v>692270.11196989357</c:v>
                </c:pt>
                <c:pt idx="138">
                  <c:v>689810.62489300163</c:v>
                </c:pt>
                <c:pt idx="139">
                  <c:v>621410.31119303626</c:v>
                </c:pt>
                <c:pt idx="140">
                  <c:v>668185.55658928177</c:v>
                </c:pt>
                <c:pt idx="141">
                  <c:v>688329.64290619222</c:v>
                </c:pt>
                <c:pt idx="142">
                  <c:v>648137.25374256889</c:v>
                </c:pt>
                <c:pt idx="143">
                  <c:v>660044.10478721361</c:v>
                </c:pt>
                <c:pt idx="144">
                  <c:v>614195.2293791573</c:v>
                </c:pt>
                <c:pt idx="145">
                  <c:v>562640.79000531661</c:v>
                </c:pt>
                <c:pt idx="146">
                  <c:v>594073.63665160397</c:v>
                </c:pt>
                <c:pt idx="147">
                  <c:v>575743.79376626504</c:v>
                </c:pt>
                <c:pt idx="148">
                  <c:v>637620.73015109519</c:v>
                </c:pt>
                <c:pt idx="149">
                  <c:v>669511.12365382875</c:v>
                </c:pt>
                <c:pt idx="150">
                  <c:v>635246.10839179822</c:v>
                </c:pt>
                <c:pt idx="151">
                  <c:v>666940.57617454161</c:v>
                </c:pt>
                <c:pt idx="152">
                  <c:v>794279.7139504638</c:v>
                </c:pt>
                <c:pt idx="153">
                  <c:v>688736.08959228545</c:v>
                </c:pt>
                <c:pt idx="154">
                  <c:v>718149.05793342355</c:v>
                </c:pt>
                <c:pt idx="155">
                  <c:v>694470.61831812246</c:v>
                </c:pt>
                <c:pt idx="156">
                  <c:v>713653.43301528017</c:v>
                </c:pt>
                <c:pt idx="157">
                  <c:v>623021.52143490477</c:v>
                </c:pt>
                <c:pt idx="158">
                  <c:v>690458.19211826846</c:v>
                </c:pt>
                <c:pt idx="159">
                  <c:v>545741.70489860745</c:v>
                </c:pt>
                <c:pt idx="160">
                  <c:v>686117.58189425175</c:v>
                </c:pt>
                <c:pt idx="161">
                  <c:v>691021.91730953066</c:v>
                </c:pt>
                <c:pt idx="162">
                  <c:v>721951.47204628156</c:v>
                </c:pt>
                <c:pt idx="163">
                  <c:v>676908.12206759281</c:v>
                </c:pt>
                <c:pt idx="164">
                  <c:v>785342.17396988242</c:v>
                </c:pt>
                <c:pt idx="165">
                  <c:v>728513.37619696674</c:v>
                </c:pt>
                <c:pt idx="166">
                  <c:v>663651.51771364512</c:v>
                </c:pt>
                <c:pt idx="167">
                  <c:v>799160.39660130639</c:v>
                </c:pt>
                <c:pt idx="168">
                  <c:v>777434.14712334343</c:v>
                </c:pt>
                <c:pt idx="169">
                  <c:v>687116.27799482737</c:v>
                </c:pt>
                <c:pt idx="170">
                  <c:v>748529.77497078094</c:v>
                </c:pt>
                <c:pt idx="171">
                  <c:v>692913.22586685873</c:v>
                </c:pt>
                <c:pt idx="172">
                  <c:v>757943.74482893676</c:v>
                </c:pt>
                <c:pt idx="173">
                  <c:v>762436.87158584979</c:v>
                </c:pt>
                <c:pt idx="174">
                  <c:v>800383.36662569758</c:v>
                </c:pt>
                <c:pt idx="175">
                  <c:v>811022.0980688635</c:v>
                </c:pt>
                <c:pt idx="176">
                  <c:v>902282.11253843817</c:v>
                </c:pt>
                <c:pt idx="177">
                  <c:v>698440.43725437729</c:v>
                </c:pt>
                <c:pt idx="178">
                  <c:v>754882.49086245778</c:v>
                </c:pt>
                <c:pt idx="179">
                  <c:v>834328.31376793189</c:v>
                </c:pt>
                <c:pt idx="180">
                  <c:v>866888.80664809712</c:v>
                </c:pt>
                <c:pt idx="181">
                  <c:v>765340.13071255141</c:v>
                </c:pt>
                <c:pt idx="182">
                  <c:v>805691.18397890218</c:v>
                </c:pt>
                <c:pt idx="183">
                  <c:v>834923.35338050581</c:v>
                </c:pt>
                <c:pt idx="184">
                  <c:v>683915.79388460307</c:v>
                </c:pt>
                <c:pt idx="185">
                  <c:v>631279.093706007</c:v>
                </c:pt>
                <c:pt idx="186">
                  <c:v>671659.45836138364</c:v>
                </c:pt>
                <c:pt idx="187">
                  <c:v>744954.38282641978</c:v>
                </c:pt>
                <c:pt idx="188">
                  <c:v>603421.15500323405</c:v>
                </c:pt>
                <c:pt idx="189">
                  <c:v>540174.06532746181</c:v>
                </c:pt>
                <c:pt idx="190">
                  <c:v>466761.38971965393</c:v>
                </c:pt>
                <c:pt idx="191">
                  <c:v>598758.02773128334</c:v>
                </c:pt>
                <c:pt idx="192">
                  <c:v>700537.49887354765</c:v>
                </c:pt>
                <c:pt idx="193">
                  <c:v>632424.67772512883</c:v>
                </c:pt>
                <c:pt idx="194">
                  <c:v>579529.2231825029</c:v>
                </c:pt>
                <c:pt idx="195">
                  <c:v>547015.96087993577</c:v>
                </c:pt>
                <c:pt idx="196">
                  <c:v>644119.45895451575</c:v>
                </c:pt>
                <c:pt idx="197">
                  <c:v>609830.0913451761</c:v>
                </c:pt>
                <c:pt idx="198">
                  <c:v>609294.93056210002</c:v>
                </c:pt>
                <c:pt idx="199">
                  <c:v>644468.57750868099</c:v>
                </c:pt>
                <c:pt idx="200">
                  <c:v>618613.30020958174</c:v>
                </c:pt>
                <c:pt idx="201">
                  <c:v>694264.52827036101</c:v>
                </c:pt>
                <c:pt idx="202">
                  <c:v>672920.3907789744</c:v>
                </c:pt>
                <c:pt idx="203">
                  <c:v>667813.4776217438</c:v>
                </c:pt>
                <c:pt idx="204">
                  <c:v>820865.03577741864</c:v>
                </c:pt>
                <c:pt idx="205">
                  <c:v>720863.16134989948</c:v>
                </c:pt>
                <c:pt idx="206">
                  <c:v>745840.55207327008</c:v>
                </c:pt>
                <c:pt idx="207">
                  <c:v>736835.48676057649</c:v>
                </c:pt>
                <c:pt idx="208">
                  <c:v>807685.50590268848</c:v>
                </c:pt>
                <c:pt idx="209">
                  <c:v>778166.99716798542</c:v>
                </c:pt>
                <c:pt idx="210">
                  <c:v>956479.59241207002</c:v>
                </c:pt>
                <c:pt idx="211">
                  <c:v>779535.60019891907</c:v>
                </c:pt>
                <c:pt idx="212">
                  <c:v>783544.6402106348</c:v>
                </c:pt>
                <c:pt idx="213">
                  <c:v>764882.55475451984</c:v>
                </c:pt>
                <c:pt idx="214">
                  <c:v>778533.41821393953</c:v>
                </c:pt>
                <c:pt idx="215">
                  <c:v>832305.77385166881</c:v>
                </c:pt>
                <c:pt idx="216">
                  <c:v>652832.89315070689</c:v>
                </c:pt>
                <c:pt idx="217">
                  <c:v>589416.30470322585</c:v>
                </c:pt>
                <c:pt idx="218">
                  <c:v>600771.31896567263</c:v>
                </c:pt>
                <c:pt idx="219">
                  <c:v>568198.06603688269</c:v>
                </c:pt>
                <c:pt idx="220">
                  <c:v>696745.94540503353</c:v>
                </c:pt>
                <c:pt idx="221">
                  <c:v>675901.59374685993</c:v>
                </c:pt>
                <c:pt idx="222">
                  <c:v>734637.68708096631</c:v>
                </c:pt>
                <c:pt idx="223">
                  <c:v>779267.67089512723</c:v>
                </c:pt>
                <c:pt idx="224">
                  <c:v>622497.45226846961</c:v>
                </c:pt>
                <c:pt idx="225">
                  <c:v>554816.24351644691</c:v>
                </c:pt>
                <c:pt idx="226">
                  <c:v>567902.54907259671</c:v>
                </c:pt>
                <c:pt idx="227">
                  <c:v>486914.45440305717</c:v>
                </c:pt>
                <c:pt idx="228">
                  <c:v>640361.9656184091</c:v>
                </c:pt>
                <c:pt idx="229">
                  <c:v>816512.81975268247</c:v>
                </c:pt>
                <c:pt idx="230">
                  <c:v>646697.90033081966</c:v>
                </c:pt>
                <c:pt idx="231">
                  <c:v>616778.33238736866</c:v>
                </c:pt>
                <c:pt idx="232">
                  <c:v>605432.81452445104</c:v>
                </c:pt>
                <c:pt idx="233">
                  <c:v>652253.93195704522</c:v>
                </c:pt>
                <c:pt idx="234">
                  <c:v>665525.01914354146</c:v>
                </c:pt>
                <c:pt idx="235">
                  <c:v>665744.54873103381</c:v>
                </c:pt>
                <c:pt idx="236">
                  <c:v>789418.16609060264</c:v>
                </c:pt>
                <c:pt idx="237">
                  <c:v>823807.79618193081</c:v>
                </c:pt>
                <c:pt idx="238">
                  <c:v>789712.12307217333</c:v>
                </c:pt>
                <c:pt idx="239">
                  <c:v>740691.54283226165</c:v>
                </c:pt>
                <c:pt idx="240">
                  <c:v>729240.50084088661</c:v>
                </c:pt>
                <c:pt idx="241">
                  <c:v>647499.42178190092</c:v>
                </c:pt>
                <c:pt idx="242">
                  <c:v>809522.53965045628</c:v>
                </c:pt>
                <c:pt idx="243">
                  <c:v>733810.67378014571</c:v>
                </c:pt>
                <c:pt idx="244">
                  <c:v>784201.24449038168</c:v>
                </c:pt>
                <c:pt idx="245">
                  <c:v>752039.21015795367</c:v>
                </c:pt>
                <c:pt idx="246">
                  <c:v>698439.59981694445</c:v>
                </c:pt>
                <c:pt idx="247">
                  <c:v>681153.61522291065</c:v>
                </c:pt>
                <c:pt idx="248">
                  <c:v>567578.37976195395</c:v>
                </c:pt>
                <c:pt idx="249">
                  <c:v>678409.66144027503</c:v>
                </c:pt>
                <c:pt idx="250">
                  <c:v>635904.33263238019</c:v>
                </c:pt>
                <c:pt idx="251">
                  <c:v>737015.10350888933</c:v>
                </c:pt>
                <c:pt idx="252">
                  <c:v>720508.98809447594</c:v>
                </c:pt>
                <c:pt idx="253">
                  <c:v>700141.17981703172</c:v>
                </c:pt>
                <c:pt idx="254">
                  <c:v>674146.51351943857</c:v>
                </c:pt>
                <c:pt idx="255">
                  <c:v>639767.33521367819</c:v>
                </c:pt>
                <c:pt idx="256">
                  <c:v>748037.41978896922</c:v>
                </c:pt>
                <c:pt idx="257">
                  <c:v>680983.84657363081</c:v>
                </c:pt>
                <c:pt idx="258">
                  <c:v>731648.10170362098</c:v>
                </c:pt>
                <c:pt idx="259">
                  <c:v>710319.38130024227</c:v>
                </c:pt>
                <c:pt idx="260">
                  <c:v>521515.30751900194</c:v>
                </c:pt>
                <c:pt idx="261">
                  <c:v>609499.25749626092</c:v>
                </c:pt>
                <c:pt idx="262">
                  <c:v>630129.23140346585</c:v>
                </c:pt>
                <c:pt idx="263">
                  <c:v>597224.16415453062</c:v>
                </c:pt>
                <c:pt idx="264">
                  <c:v>708845.24992508371</c:v>
                </c:pt>
                <c:pt idx="265">
                  <c:v>741966.93419628928</c:v>
                </c:pt>
                <c:pt idx="266">
                  <c:v>721057.07227916224</c:v>
                </c:pt>
                <c:pt idx="267">
                  <c:v>721990.70981133985</c:v>
                </c:pt>
                <c:pt idx="268">
                  <c:v>720581.51689546101</c:v>
                </c:pt>
                <c:pt idx="269">
                  <c:v>688262.93965865113</c:v>
                </c:pt>
                <c:pt idx="270">
                  <c:v>799326.72740102338</c:v>
                </c:pt>
                <c:pt idx="271">
                  <c:v>677720.52428942418</c:v>
                </c:pt>
                <c:pt idx="272">
                  <c:v>658511.06718635885</c:v>
                </c:pt>
                <c:pt idx="273">
                  <c:v>532747.64461966697</c:v>
                </c:pt>
                <c:pt idx="274">
                  <c:v>649967.09500705439</c:v>
                </c:pt>
                <c:pt idx="275">
                  <c:v>634171.28410680173</c:v>
                </c:pt>
                <c:pt idx="276">
                  <c:v>750465.11324100103</c:v>
                </c:pt>
                <c:pt idx="277">
                  <c:v>714696.64467765065</c:v>
                </c:pt>
                <c:pt idx="278">
                  <c:v>753636.70430260745</c:v>
                </c:pt>
                <c:pt idx="279">
                  <c:v>789585.83970078046</c:v>
                </c:pt>
                <c:pt idx="280">
                  <c:v>585392.6765876296</c:v>
                </c:pt>
                <c:pt idx="281">
                  <c:v>585458.1922143054</c:v>
                </c:pt>
                <c:pt idx="282">
                  <c:v>666073.97084973997</c:v>
                </c:pt>
                <c:pt idx="283">
                  <c:v>516199.52052399365</c:v>
                </c:pt>
                <c:pt idx="284">
                  <c:v>669034.99367261969</c:v>
                </c:pt>
                <c:pt idx="285">
                  <c:v>637682.42574972776</c:v>
                </c:pt>
                <c:pt idx="286">
                  <c:v>601161.78824034473</c:v>
                </c:pt>
                <c:pt idx="287">
                  <c:v>583246.20396702818</c:v>
                </c:pt>
                <c:pt idx="288">
                  <c:v>744476.02150991966</c:v>
                </c:pt>
                <c:pt idx="289">
                  <c:v>719087.23545677611</c:v>
                </c:pt>
                <c:pt idx="290">
                  <c:v>744541.85133001755</c:v>
                </c:pt>
                <c:pt idx="291">
                  <c:v>703505.60489899642</c:v>
                </c:pt>
                <c:pt idx="292">
                  <c:v>594017.27207521291</c:v>
                </c:pt>
                <c:pt idx="293">
                  <c:v>528909.13146417751</c:v>
                </c:pt>
                <c:pt idx="294">
                  <c:v>505104.19464019005</c:v>
                </c:pt>
                <c:pt idx="295">
                  <c:v>488537.97863514739</c:v>
                </c:pt>
                <c:pt idx="296">
                  <c:v>672640.45410775626</c:v>
                </c:pt>
                <c:pt idx="297">
                  <c:v>666891.68220752</c:v>
                </c:pt>
                <c:pt idx="298">
                  <c:v>621513.63382172515</c:v>
                </c:pt>
                <c:pt idx="299">
                  <c:v>481106.97595513979</c:v>
                </c:pt>
                <c:pt idx="300">
                  <c:v>714974.57708338555</c:v>
                </c:pt>
                <c:pt idx="301">
                  <c:v>738630.66342417244</c:v>
                </c:pt>
                <c:pt idx="302">
                  <c:v>729651.17455352668</c:v>
                </c:pt>
                <c:pt idx="303">
                  <c:v>697770.20527669415</c:v>
                </c:pt>
                <c:pt idx="304">
                  <c:v>669858.33989245049</c:v>
                </c:pt>
                <c:pt idx="305">
                  <c:v>647387.64818553219</c:v>
                </c:pt>
                <c:pt idx="306">
                  <c:v>628274.38222412451</c:v>
                </c:pt>
                <c:pt idx="307">
                  <c:v>681416.76416687807</c:v>
                </c:pt>
                <c:pt idx="308">
                  <c:v>639039.68042602704</c:v>
                </c:pt>
                <c:pt idx="309">
                  <c:v>593808.81437924667</c:v>
                </c:pt>
                <c:pt idx="310">
                  <c:v>630720.46057469351</c:v>
                </c:pt>
                <c:pt idx="311">
                  <c:v>740562.05549299705</c:v>
                </c:pt>
                <c:pt idx="312">
                  <c:v>699110.01181331405</c:v>
                </c:pt>
                <c:pt idx="313">
                  <c:v>708852.73812193319</c:v>
                </c:pt>
                <c:pt idx="314">
                  <c:v>668681.35318483552</c:v>
                </c:pt>
                <c:pt idx="315">
                  <c:v>804819.77224413783</c:v>
                </c:pt>
                <c:pt idx="316">
                  <c:v>665261.79580303817</c:v>
                </c:pt>
                <c:pt idx="317">
                  <c:v>547982.80290306825</c:v>
                </c:pt>
                <c:pt idx="318">
                  <c:v>739340.97925306484</c:v>
                </c:pt>
                <c:pt idx="319">
                  <c:v>614228.872199176</c:v>
                </c:pt>
              </c:numCache>
            </c:numRef>
          </c:yVal>
          <c:smooth val="0"/>
          <c:extLst>
            <c:ext xmlns:c16="http://schemas.microsoft.com/office/drawing/2014/chart" uri="{C3380CC4-5D6E-409C-BE32-E72D297353CC}">
              <c16:uniqueId val="{00000001-A6CF-4653-9DEC-AE13F2970529}"/>
            </c:ext>
          </c:extLst>
        </c:ser>
        <c:dLbls>
          <c:showLegendKey val="0"/>
          <c:showVal val="0"/>
          <c:showCatName val="0"/>
          <c:showSerName val="0"/>
          <c:showPercent val="0"/>
          <c:showBubbleSize val="0"/>
        </c:dLbls>
        <c:axId val="575744552"/>
        <c:axId val="575743896"/>
      </c:scatterChart>
      <c:valAx>
        <c:axId val="575744552"/>
        <c:scaling>
          <c:orientation val="minMax"/>
        </c:scaling>
        <c:delete val="0"/>
        <c:axPos val="b"/>
        <c:title>
          <c:tx>
            <c:rich>
              <a:bodyPr/>
              <a:lstStyle/>
              <a:p>
                <a:pPr>
                  <a:defRPr/>
                </a:pPr>
                <a:r>
                  <a:rPr lang="en-IN"/>
                  <a:t>footfall</a:t>
                </a:r>
              </a:p>
            </c:rich>
          </c:tx>
          <c:overlay val="0"/>
        </c:title>
        <c:numFmt formatCode="General" sourceLinked="1"/>
        <c:majorTickMark val="out"/>
        <c:minorTickMark val="none"/>
        <c:tickLblPos val="nextTo"/>
        <c:crossAx val="575743896"/>
        <c:crosses val="autoZero"/>
        <c:crossBetween val="midCat"/>
      </c:valAx>
      <c:valAx>
        <c:axId val="575743896"/>
        <c:scaling>
          <c:orientation val="minMax"/>
        </c:scaling>
        <c:delete val="0"/>
        <c:axPos val="l"/>
        <c:title>
          <c:tx>
            <c:rich>
              <a:bodyPr/>
              <a:lstStyle/>
              <a:p>
                <a:pPr>
                  <a:defRPr/>
                </a:pPr>
                <a:r>
                  <a:rPr lang="en-IN"/>
                  <a:t>monthly_sales</a:t>
                </a:r>
              </a:p>
            </c:rich>
          </c:tx>
          <c:overlay val="0"/>
        </c:title>
        <c:numFmt formatCode="General" sourceLinked="1"/>
        <c:majorTickMark val="out"/>
        <c:minorTickMark val="none"/>
        <c:tickLblPos val="nextTo"/>
        <c:crossAx val="575744552"/>
        <c:crosses val="autoZero"/>
        <c:crossBetween val="midCat"/>
      </c:valAx>
    </c:plotArea>
    <c:legend>
      <c:legendPos val="r"/>
      <c:overlay val="0"/>
    </c:legend>
    <c:plotVisOnly val="1"/>
    <c:dispBlanksAs val="gap"/>
    <c:extLst>
      <c:ext xmlns:c16r3="http://schemas.microsoft.com/office/drawing/2017/03/chart" uri="{56B9EC1D-385E-4148-901F-78D8002777C0}">
        <c16r3:dataDisplayOptions16>
          <c16r3:dispNaAsBlank val="1"/>
        </c16r3:dataDisplayOptions16>
      </c:ext>
    </c:extLst>
    <c:showDLblsOverMax val="0"/>
  </c:chart>
  <c:printSettings>
    <c:headerFooter/>
    <c:pageMargins b="0.75" l="0.7" r="0.7" t="0.75" header="0.3" footer="0.3"/>
    <c:pageSetup/>
  </c:printSettings>
</c:chartSpace>
</file>

<file path=xl/drawings/_rels/drawing1.xml.rels><?xml version="1.0" encoding="UTF-8" standalone="yes"?>
<Relationships xmlns="http://schemas.openxmlformats.org/package/2006/relationships"><Relationship Id="rId8" Type="http://schemas.openxmlformats.org/officeDocument/2006/relationships/chart" Target="../charts/chart8.xml"/><Relationship Id="rId3" Type="http://schemas.openxmlformats.org/officeDocument/2006/relationships/chart" Target="../charts/chart3.xml"/><Relationship Id="rId7" Type="http://schemas.openxmlformats.org/officeDocument/2006/relationships/chart" Target="../charts/chart7.xml"/><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chart" Target="../charts/chart6.xml"/><Relationship Id="rId5" Type="http://schemas.openxmlformats.org/officeDocument/2006/relationships/chart" Target="../charts/chart5.xml"/><Relationship Id="rId4"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xdr:from>
      <xdr:col>0</xdr:col>
      <xdr:colOff>91440</xdr:colOff>
      <xdr:row>0</xdr:row>
      <xdr:rowOff>53340</xdr:rowOff>
    </xdr:from>
    <xdr:to>
      <xdr:col>6</xdr:col>
      <xdr:colOff>91440</xdr:colOff>
      <xdr:row>10</xdr:row>
      <xdr:rowOff>83820</xdr:rowOff>
    </xdr:to>
    <xdr:graphicFrame macro="">
      <xdr:nvGraphicFramePr>
        <xdr:cNvPr id="2" name="Chart 1">
          <a:extLst>
            <a:ext uri="{FF2B5EF4-FFF2-40B4-BE49-F238E27FC236}">
              <a16:creationId xmlns:a16="http://schemas.microsoft.com/office/drawing/2014/main" id="{F557842C-F4E8-43CD-8CF9-EE28A4AD7E4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0</xdr:col>
      <xdr:colOff>121920</xdr:colOff>
      <xdr:row>11</xdr:row>
      <xdr:rowOff>45720</xdr:rowOff>
    </xdr:from>
    <xdr:to>
      <xdr:col>6</xdr:col>
      <xdr:colOff>121921</xdr:colOff>
      <xdr:row>21</xdr:row>
      <xdr:rowOff>76200</xdr:rowOff>
    </xdr:to>
    <xdr:graphicFrame macro="">
      <xdr:nvGraphicFramePr>
        <xdr:cNvPr id="3" name="Chart 2">
          <a:extLst>
            <a:ext uri="{FF2B5EF4-FFF2-40B4-BE49-F238E27FC236}">
              <a16:creationId xmlns:a16="http://schemas.microsoft.com/office/drawing/2014/main" id="{F22213BB-924A-4606-950A-0638D3C49A0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6</xdr:col>
      <xdr:colOff>358140</xdr:colOff>
      <xdr:row>0</xdr:row>
      <xdr:rowOff>60960</xdr:rowOff>
    </xdr:from>
    <xdr:to>
      <xdr:col>12</xdr:col>
      <xdr:colOff>358140</xdr:colOff>
      <xdr:row>10</xdr:row>
      <xdr:rowOff>91440</xdr:rowOff>
    </xdr:to>
    <xdr:graphicFrame macro="">
      <xdr:nvGraphicFramePr>
        <xdr:cNvPr id="4" name="Chart 3">
          <a:extLst>
            <a:ext uri="{FF2B5EF4-FFF2-40B4-BE49-F238E27FC236}">
              <a16:creationId xmlns:a16="http://schemas.microsoft.com/office/drawing/2014/main" id="{17FF9F25-0D58-4DC0-B2BF-C95987427ED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12</xdr:col>
      <xdr:colOff>541020</xdr:colOff>
      <xdr:row>0</xdr:row>
      <xdr:rowOff>83820</xdr:rowOff>
    </xdr:from>
    <xdr:to>
      <xdr:col>18</xdr:col>
      <xdr:colOff>541020</xdr:colOff>
      <xdr:row>10</xdr:row>
      <xdr:rowOff>129540</xdr:rowOff>
    </xdr:to>
    <xdr:graphicFrame macro="">
      <xdr:nvGraphicFramePr>
        <xdr:cNvPr id="5" name="Chart 4">
          <a:extLst>
            <a:ext uri="{FF2B5EF4-FFF2-40B4-BE49-F238E27FC236}">
              <a16:creationId xmlns:a16="http://schemas.microsoft.com/office/drawing/2014/main" id="{4071BF31-F602-4DFB-8982-474BDAB685F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9</xdr:col>
      <xdr:colOff>617220</xdr:colOff>
      <xdr:row>22</xdr:row>
      <xdr:rowOff>22860</xdr:rowOff>
    </xdr:from>
    <xdr:to>
      <xdr:col>15</xdr:col>
      <xdr:colOff>617221</xdr:colOff>
      <xdr:row>32</xdr:row>
      <xdr:rowOff>60960</xdr:rowOff>
    </xdr:to>
    <xdr:graphicFrame macro="">
      <xdr:nvGraphicFramePr>
        <xdr:cNvPr id="6" name="Chart 5">
          <a:extLst>
            <a:ext uri="{FF2B5EF4-FFF2-40B4-BE49-F238E27FC236}">
              <a16:creationId xmlns:a16="http://schemas.microsoft.com/office/drawing/2014/main" id="{D264FC40-E3DC-4DE2-A17F-7D7E7E1BC40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3</xdr:col>
      <xdr:colOff>426720</xdr:colOff>
      <xdr:row>22</xdr:row>
      <xdr:rowOff>30480</xdr:rowOff>
    </xdr:from>
    <xdr:to>
      <xdr:col>9</xdr:col>
      <xdr:colOff>426719</xdr:colOff>
      <xdr:row>32</xdr:row>
      <xdr:rowOff>53340</xdr:rowOff>
    </xdr:to>
    <xdr:graphicFrame macro="">
      <xdr:nvGraphicFramePr>
        <xdr:cNvPr id="7" name="Chart 6">
          <a:extLst>
            <a:ext uri="{FF2B5EF4-FFF2-40B4-BE49-F238E27FC236}">
              <a16:creationId xmlns:a16="http://schemas.microsoft.com/office/drawing/2014/main" id="{2235EC30-86B5-4541-AB09-F47D241C652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6</xdr:col>
      <xdr:colOff>335280</xdr:colOff>
      <xdr:row>11</xdr:row>
      <xdr:rowOff>45720</xdr:rowOff>
    </xdr:from>
    <xdr:to>
      <xdr:col>12</xdr:col>
      <xdr:colOff>335280</xdr:colOff>
      <xdr:row>21</xdr:row>
      <xdr:rowOff>76200</xdr:rowOff>
    </xdr:to>
    <xdr:graphicFrame macro="">
      <xdr:nvGraphicFramePr>
        <xdr:cNvPr id="8" name="Chart 7">
          <a:extLst>
            <a:ext uri="{FF2B5EF4-FFF2-40B4-BE49-F238E27FC236}">
              <a16:creationId xmlns:a16="http://schemas.microsoft.com/office/drawing/2014/main" id="{5500D4BC-25E3-44BA-91DE-7BFA2BF3083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12</xdr:col>
      <xdr:colOff>579120</xdr:colOff>
      <xdr:row>11</xdr:row>
      <xdr:rowOff>91440</xdr:rowOff>
    </xdr:from>
    <xdr:to>
      <xdr:col>18</xdr:col>
      <xdr:colOff>579121</xdr:colOff>
      <xdr:row>21</xdr:row>
      <xdr:rowOff>121920</xdr:rowOff>
    </xdr:to>
    <xdr:graphicFrame macro="">
      <xdr:nvGraphicFramePr>
        <xdr:cNvPr id="9" name="Chart 8">
          <a:extLst>
            <a:ext uri="{FF2B5EF4-FFF2-40B4-BE49-F238E27FC236}">
              <a16:creationId xmlns:a16="http://schemas.microsoft.com/office/drawing/2014/main" id="{2C462DFD-EC58-415E-A975-7D588094407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wsDr>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a:ea typeface="Calibri"/>
        <a:cs typeface="Calibri"/>
      </a:majorFont>
      <a:minorFont>
        <a:latin typeface="Calibri"/>
        <a:ea typeface="Calibri"/>
        <a:cs typeface="Calibri"/>
      </a:minorFont>
    </a:fontScheme>
    <a:fmtScheme name="ChatGPT">
      <a:fillStyleLst>
        <a:solidFill>
          <a:schemeClr val="phClr"/>
        </a:solidFill>
        <a:solidFill>
          <a:schemeClr val="dk1"/>
        </a:solidFill>
        <a:solidFill>
          <a:schemeClr val="accent1"/>
        </a:soli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objectDefaults/>
  <a:extraClrSchemeLst/>
</a:theme>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Q321"/>
  <sheetViews>
    <sheetView topLeftCell="I1" workbookViewId="0">
      <selection activeCell="L18" sqref="L18"/>
    </sheetView>
  </sheetViews>
  <sheetFormatPr defaultRowHeight="13.8"/>
  <cols>
    <col min="1" max="17" width="16" customWidth="1"/>
  </cols>
  <sheetData>
    <row r="1" spans="1:17" ht="22.35" customHeight="1">
      <c r="A1" s="1" t="s">
        <v>0</v>
      </c>
      <c r="B1" s="1" t="s">
        <v>1</v>
      </c>
      <c r="C1" s="1" t="s">
        <v>3</v>
      </c>
      <c r="D1" s="1" t="s">
        <v>2</v>
      </c>
      <c r="E1" s="2" t="s">
        <v>102</v>
      </c>
      <c r="F1" s="2" t="s">
        <v>103</v>
      </c>
      <c r="G1" s="2" t="s">
        <v>104</v>
      </c>
      <c r="H1" s="1" t="s">
        <v>4</v>
      </c>
      <c r="I1" s="1" t="s">
        <v>5</v>
      </c>
      <c r="J1" s="1" t="s">
        <v>6</v>
      </c>
      <c r="K1" s="1" t="s">
        <v>7</v>
      </c>
      <c r="L1" s="1" t="s">
        <v>8</v>
      </c>
      <c r="M1" s="1" t="s">
        <v>9</v>
      </c>
      <c r="N1" s="1" t="s">
        <v>10</v>
      </c>
      <c r="O1" s="1" t="s">
        <v>11</v>
      </c>
      <c r="P1" s="1" t="s">
        <v>12</v>
      </c>
      <c r="Q1" s="1" t="s">
        <v>13</v>
      </c>
    </row>
    <row r="2" spans="1:17">
      <c r="A2" s="3" t="s">
        <v>14</v>
      </c>
      <c r="B2" s="5">
        <v>45658</v>
      </c>
      <c r="C2" s="3" t="s">
        <v>16</v>
      </c>
      <c r="D2" s="3" t="s">
        <v>15</v>
      </c>
      <c r="E2" s="4">
        <f>IF(D2="South",1,0)</f>
        <v>0</v>
      </c>
      <c r="F2" s="4">
        <f>IF(D2="East",1,0)</f>
        <v>1</v>
      </c>
      <c r="G2" s="4">
        <f>IF(D2="West",1,0)</f>
        <v>0</v>
      </c>
      <c r="H2" s="3">
        <v>70389.11</v>
      </c>
      <c r="I2" s="3">
        <v>8302</v>
      </c>
      <c r="J2" s="3">
        <v>4.2000000000000003E-2</v>
      </c>
      <c r="K2" s="3">
        <v>17</v>
      </c>
      <c r="L2" s="3">
        <v>75</v>
      </c>
      <c r="M2" s="3">
        <v>5.28</v>
      </c>
      <c r="N2" s="3">
        <v>1</v>
      </c>
      <c r="O2" s="3">
        <v>3.1</v>
      </c>
      <c r="P2" s="3">
        <v>658832.62</v>
      </c>
      <c r="Q2" s="3">
        <v>84349.93</v>
      </c>
    </row>
    <row r="3" spans="1:17">
      <c r="A3" s="3" t="s">
        <v>14</v>
      </c>
      <c r="B3" s="5">
        <v>45689</v>
      </c>
      <c r="C3" s="3" t="s">
        <v>16</v>
      </c>
      <c r="D3" s="3" t="s">
        <v>15</v>
      </c>
      <c r="E3" s="4">
        <f t="shared" ref="E3:E66" si="0">IF(D3="South",1,0)</f>
        <v>0</v>
      </c>
      <c r="F3" s="4">
        <f t="shared" ref="F3:F66" si="1">IF(D3="East",1,0)</f>
        <v>1</v>
      </c>
      <c r="G3" s="4">
        <f t="shared" ref="G3:G66" si="2">IF(D3="West",1,0)</f>
        <v>0</v>
      </c>
      <c r="H3" s="3">
        <v>43827.89</v>
      </c>
      <c r="I3" s="3">
        <v>8487</v>
      </c>
      <c r="J3" s="3">
        <v>0.16800000000000001</v>
      </c>
      <c r="K3" s="3">
        <v>23</v>
      </c>
      <c r="L3" s="3">
        <v>84.4</v>
      </c>
      <c r="M3" s="3">
        <v>4.3099999999999996</v>
      </c>
      <c r="N3" s="3">
        <v>0</v>
      </c>
      <c r="O3" s="3">
        <v>2.8</v>
      </c>
      <c r="P3" s="3">
        <v>634436</v>
      </c>
      <c r="Q3" s="3">
        <v>106130.54</v>
      </c>
    </row>
    <row r="4" spans="1:17">
      <c r="A4" s="3" t="s">
        <v>14</v>
      </c>
      <c r="B4" s="5">
        <v>45717</v>
      </c>
      <c r="C4" s="3" t="s">
        <v>16</v>
      </c>
      <c r="D4" s="3" t="s">
        <v>15</v>
      </c>
      <c r="E4" s="4">
        <f t="shared" si="0"/>
        <v>0</v>
      </c>
      <c r="F4" s="4">
        <f t="shared" si="1"/>
        <v>1</v>
      </c>
      <c r="G4" s="4">
        <f t="shared" si="2"/>
        <v>0</v>
      </c>
      <c r="H4" s="3">
        <v>59921.75</v>
      </c>
      <c r="I4" s="3">
        <v>9113</v>
      </c>
      <c r="J4" s="3">
        <v>0.13300000000000001</v>
      </c>
      <c r="K4" s="3">
        <v>20</v>
      </c>
      <c r="L4" s="3">
        <v>88</v>
      </c>
      <c r="M4" s="3">
        <v>12</v>
      </c>
      <c r="N4" s="3">
        <v>0</v>
      </c>
      <c r="O4" s="3">
        <v>3.2</v>
      </c>
      <c r="P4" s="3">
        <v>678722.06</v>
      </c>
      <c r="Q4" s="3">
        <v>101883.86</v>
      </c>
    </row>
    <row r="5" spans="1:17">
      <c r="A5" s="3" t="s">
        <v>14</v>
      </c>
      <c r="B5" s="5">
        <v>45748</v>
      </c>
      <c r="C5" s="3" t="s">
        <v>16</v>
      </c>
      <c r="D5" s="3" t="s">
        <v>15</v>
      </c>
      <c r="E5" s="4">
        <f t="shared" si="0"/>
        <v>0</v>
      </c>
      <c r="F5" s="4">
        <f t="shared" si="1"/>
        <v>1</v>
      </c>
      <c r="G5" s="4">
        <f t="shared" si="2"/>
        <v>0</v>
      </c>
      <c r="H5" s="3">
        <v>56856.63</v>
      </c>
      <c r="I5" s="3">
        <v>9431</v>
      </c>
      <c r="J5" s="3">
        <v>0.14199999999999999</v>
      </c>
      <c r="K5" s="3">
        <v>23</v>
      </c>
      <c r="L5" s="3">
        <v>86.9</v>
      </c>
      <c r="M5" s="3">
        <v>4.97</v>
      </c>
      <c r="N5" s="3">
        <v>0</v>
      </c>
      <c r="O5" s="3">
        <v>3.4</v>
      </c>
      <c r="P5" s="3">
        <v>658920.30000000005</v>
      </c>
      <c r="Q5" s="3">
        <v>97910.37</v>
      </c>
    </row>
    <row r="6" spans="1:17">
      <c r="A6" s="3" t="s">
        <v>17</v>
      </c>
      <c r="B6" s="5">
        <v>45658</v>
      </c>
      <c r="C6" s="3" t="s">
        <v>18</v>
      </c>
      <c r="D6" s="3" t="s">
        <v>15</v>
      </c>
      <c r="E6" s="4">
        <f t="shared" si="0"/>
        <v>0</v>
      </c>
      <c r="F6" s="4">
        <f t="shared" si="1"/>
        <v>1</v>
      </c>
      <c r="G6" s="4">
        <f t="shared" si="2"/>
        <v>0</v>
      </c>
      <c r="H6" s="3">
        <v>48412.639999999999</v>
      </c>
      <c r="I6" s="3">
        <v>9545</v>
      </c>
      <c r="J6" s="3">
        <v>0.23100000000000001</v>
      </c>
      <c r="K6" s="3">
        <v>21</v>
      </c>
      <c r="L6" s="3">
        <v>97.6</v>
      </c>
      <c r="M6" s="3">
        <v>6.94</v>
      </c>
      <c r="N6" s="3">
        <v>1</v>
      </c>
      <c r="O6" s="3">
        <v>4.2</v>
      </c>
      <c r="P6" s="3">
        <v>741341.44</v>
      </c>
      <c r="Q6" s="3">
        <v>119208.17</v>
      </c>
    </row>
    <row r="7" spans="1:17">
      <c r="A7" s="3" t="s">
        <v>17</v>
      </c>
      <c r="B7" s="5">
        <v>45689</v>
      </c>
      <c r="C7" s="3" t="s">
        <v>18</v>
      </c>
      <c r="D7" s="3" t="s">
        <v>15</v>
      </c>
      <c r="E7" s="4">
        <f t="shared" si="0"/>
        <v>0</v>
      </c>
      <c r="F7" s="4">
        <f t="shared" si="1"/>
        <v>1</v>
      </c>
      <c r="G7" s="4">
        <f t="shared" si="2"/>
        <v>0</v>
      </c>
      <c r="H7" s="3">
        <v>64811.21</v>
      </c>
      <c r="I7" s="3">
        <v>9792</v>
      </c>
      <c r="J7" s="3">
        <v>0.112</v>
      </c>
      <c r="K7" s="3">
        <v>20</v>
      </c>
      <c r="L7" s="3">
        <v>84.2</v>
      </c>
      <c r="M7" s="3">
        <v>2.88</v>
      </c>
      <c r="N7" s="3">
        <v>0</v>
      </c>
      <c r="O7" s="3">
        <v>4.2</v>
      </c>
      <c r="P7" s="3">
        <v>761835.34</v>
      </c>
      <c r="Q7" s="3">
        <v>149602.23000000001</v>
      </c>
    </row>
    <row r="8" spans="1:17">
      <c r="A8" s="3" t="s">
        <v>17</v>
      </c>
      <c r="B8" s="5">
        <v>45717</v>
      </c>
      <c r="C8" s="3" t="s">
        <v>18</v>
      </c>
      <c r="D8" s="3" t="s">
        <v>15</v>
      </c>
      <c r="E8" s="4">
        <f t="shared" si="0"/>
        <v>0</v>
      </c>
      <c r="F8" s="4">
        <f t="shared" si="1"/>
        <v>1</v>
      </c>
      <c r="G8" s="4">
        <f t="shared" si="2"/>
        <v>0</v>
      </c>
      <c r="H8" s="3">
        <v>46213.45</v>
      </c>
      <c r="I8" s="3">
        <v>10616</v>
      </c>
      <c r="J8" s="3">
        <v>0.122</v>
      </c>
      <c r="K8" s="3">
        <v>22</v>
      </c>
      <c r="L8" s="3">
        <v>85.2</v>
      </c>
      <c r="M8" s="3">
        <v>0.2</v>
      </c>
      <c r="N8" s="3">
        <v>1</v>
      </c>
      <c r="O8" s="3">
        <v>4.0999999999999996</v>
      </c>
      <c r="P8" s="3">
        <v>806615.54</v>
      </c>
      <c r="Q8" s="3">
        <v>131364.62</v>
      </c>
    </row>
    <row r="9" spans="1:17">
      <c r="A9" s="3" t="s">
        <v>17</v>
      </c>
      <c r="B9" s="5">
        <v>45748</v>
      </c>
      <c r="C9" s="3" t="s">
        <v>18</v>
      </c>
      <c r="D9" s="3" t="s">
        <v>15</v>
      </c>
      <c r="E9" s="4">
        <f t="shared" si="0"/>
        <v>0</v>
      </c>
      <c r="F9" s="4">
        <f t="shared" si="1"/>
        <v>1</v>
      </c>
      <c r="G9" s="4">
        <f t="shared" si="2"/>
        <v>0</v>
      </c>
      <c r="H9" s="3">
        <v>68148.52</v>
      </c>
      <c r="I9" s="3">
        <v>8567</v>
      </c>
      <c r="J9" s="3">
        <v>0.127</v>
      </c>
      <c r="K9" s="3">
        <v>23</v>
      </c>
      <c r="L9" s="3">
        <v>95.6</v>
      </c>
      <c r="M9" s="3">
        <v>0.8</v>
      </c>
      <c r="N9" s="3">
        <v>0</v>
      </c>
      <c r="O9" s="3">
        <v>3.9</v>
      </c>
      <c r="P9" s="3">
        <v>850164.26</v>
      </c>
      <c r="Q9" s="3">
        <v>149262.75</v>
      </c>
    </row>
    <row r="10" spans="1:17">
      <c r="A10" s="3" t="s">
        <v>19</v>
      </c>
      <c r="B10" s="5">
        <v>45658</v>
      </c>
      <c r="C10" s="3" t="s">
        <v>21</v>
      </c>
      <c r="D10" s="3" t="s">
        <v>20</v>
      </c>
      <c r="E10" s="4">
        <f t="shared" si="0"/>
        <v>0</v>
      </c>
      <c r="F10" s="4">
        <f t="shared" si="1"/>
        <v>0</v>
      </c>
      <c r="G10" s="4">
        <f t="shared" si="2"/>
        <v>0</v>
      </c>
      <c r="H10" s="3">
        <v>71838.86</v>
      </c>
      <c r="I10" s="3">
        <v>10979</v>
      </c>
      <c r="J10" s="3">
        <v>0.215</v>
      </c>
      <c r="K10" s="3">
        <v>26</v>
      </c>
      <c r="L10" s="3">
        <v>88.6</v>
      </c>
      <c r="M10" s="3">
        <v>7.7</v>
      </c>
      <c r="N10" s="3">
        <v>1</v>
      </c>
      <c r="O10" s="3">
        <v>3.8</v>
      </c>
      <c r="P10" s="3">
        <v>930581.7</v>
      </c>
      <c r="Q10" s="3">
        <v>136207.98000000001</v>
      </c>
    </row>
    <row r="11" spans="1:17">
      <c r="A11" s="3" t="s">
        <v>19</v>
      </c>
      <c r="B11" s="5">
        <v>45689</v>
      </c>
      <c r="C11" s="3" t="s">
        <v>21</v>
      </c>
      <c r="D11" s="3" t="s">
        <v>20</v>
      </c>
      <c r="E11" s="4">
        <f t="shared" si="0"/>
        <v>0</v>
      </c>
      <c r="F11" s="4">
        <f t="shared" si="1"/>
        <v>0</v>
      </c>
      <c r="G11" s="4">
        <f t="shared" si="2"/>
        <v>0</v>
      </c>
      <c r="H11" s="3">
        <v>68133.440000000002</v>
      </c>
      <c r="I11" s="3">
        <v>9459</v>
      </c>
      <c r="J11" s="3">
        <v>0.22</v>
      </c>
      <c r="K11" s="3">
        <v>21</v>
      </c>
      <c r="L11" s="3">
        <v>85</v>
      </c>
      <c r="M11" s="3">
        <v>1.91</v>
      </c>
      <c r="N11" s="3">
        <v>0</v>
      </c>
      <c r="O11" s="3">
        <v>4.2</v>
      </c>
      <c r="P11" s="3">
        <v>779010.94</v>
      </c>
      <c r="Q11" s="3">
        <v>106328.09</v>
      </c>
    </row>
    <row r="12" spans="1:17">
      <c r="A12" s="3" t="s">
        <v>19</v>
      </c>
      <c r="B12" s="5">
        <v>45717</v>
      </c>
      <c r="C12" s="3" t="s">
        <v>21</v>
      </c>
      <c r="D12" s="3" t="s">
        <v>20</v>
      </c>
      <c r="E12" s="4">
        <f t="shared" si="0"/>
        <v>0</v>
      </c>
      <c r="F12" s="4">
        <f t="shared" si="1"/>
        <v>0</v>
      </c>
      <c r="G12" s="4">
        <f t="shared" si="2"/>
        <v>0</v>
      </c>
      <c r="H12" s="3">
        <v>34285.21</v>
      </c>
      <c r="I12" s="3">
        <v>9172</v>
      </c>
      <c r="J12" s="3">
        <v>0.21299999999999999</v>
      </c>
      <c r="K12" s="3">
        <v>22</v>
      </c>
      <c r="L12" s="3">
        <v>88.3</v>
      </c>
      <c r="M12" s="3">
        <v>10.46</v>
      </c>
      <c r="N12" s="3">
        <v>1</v>
      </c>
      <c r="O12" s="3">
        <v>3.8</v>
      </c>
      <c r="P12" s="3">
        <v>723060.76</v>
      </c>
      <c r="Q12" s="3">
        <v>123131.24</v>
      </c>
    </row>
    <row r="13" spans="1:17">
      <c r="A13" s="3" t="s">
        <v>19</v>
      </c>
      <c r="B13" s="5">
        <v>45748</v>
      </c>
      <c r="C13" s="3" t="s">
        <v>21</v>
      </c>
      <c r="D13" s="3" t="s">
        <v>20</v>
      </c>
      <c r="E13" s="4">
        <f t="shared" si="0"/>
        <v>0</v>
      </c>
      <c r="F13" s="4">
        <f t="shared" si="1"/>
        <v>0</v>
      </c>
      <c r="G13" s="4">
        <f t="shared" si="2"/>
        <v>0</v>
      </c>
      <c r="H13" s="3">
        <v>67979.88</v>
      </c>
      <c r="I13" s="3">
        <v>11230</v>
      </c>
      <c r="J13" s="3">
        <v>2E-3</v>
      </c>
      <c r="K13" s="3">
        <v>28</v>
      </c>
      <c r="L13" s="3">
        <v>85.3</v>
      </c>
      <c r="M13" s="3">
        <v>7.16</v>
      </c>
      <c r="N13" s="3">
        <v>0</v>
      </c>
      <c r="O13" s="3">
        <v>3.8</v>
      </c>
      <c r="P13" s="3">
        <v>910791.94</v>
      </c>
      <c r="Q13" s="3">
        <v>158891.28</v>
      </c>
    </row>
    <row r="14" spans="1:17">
      <c r="A14" s="3" t="s">
        <v>22</v>
      </c>
      <c r="B14" s="5">
        <v>45658</v>
      </c>
      <c r="C14" s="3" t="s">
        <v>16</v>
      </c>
      <c r="D14" s="3" t="s">
        <v>15</v>
      </c>
      <c r="E14" s="4">
        <f t="shared" si="0"/>
        <v>0</v>
      </c>
      <c r="F14" s="4">
        <f t="shared" si="1"/>
        <v>1</v>
      </c>
      <c r="G14" s="4">
        <f t="shared" si="2"/>
        <v>0</v>
      </c>
      <c r="H14" s="3">
        <v>71828.259999999995</v>
      </c>
      <c r="I14" s="3">
        <v>12775</v>
      </c>
      <c r="J14" s="3">
        <v>0.11600000000000001</v>
      </c>
      <c r="K14" s="3">
        <v>30</v>
      </c>
      <c r="L14" s="3">
        <v>81.7</v>
      </c>
      <c r="M14" s="3">
        <v>4.24</v>
      </c>
      <c r="N14" s="3">
        <v>1</v>
      </c>
      <c r="O14" s="3">
        <v>4.2</v>
      </c>
      <c r="P14" s="3">
        <v>922168.6</v>
      </c>
      <c r="Q14" s="3">
        <v>107494.53</v>
      </c>
    </row>
    <row r="15" spans="1:17">
      <c r="A15" s="3" t="s">
        <v>22</v>
      </c>
      <c r="B15" s="5">
        <v>45689</v>
      </c>
      <c r="C15" s="3" t="s">
        <v>16</v>
      </c>
      <c r="D15" s="3" t="s">
        <v>15</v>
      </c>
      <c r="E15" s="4">
        <f t="shared" si="0"/>
        <v>0</v>
      </c>
      <c r="F15" s="4">
        <f t="shared" si="1"/>
        <v>1</v>
      </c>
      <c r="G15" s="4">
        <f t="shared" si="2"/>
        <v>0</v>
      </c>
      <c r="H15" s="3">
        <v>55716.82</v>
      </c>
      <c r="I15" s="3">
        <v>10054</v>
      </c>
      <c r="J15" s="3">
        <v>0.14599999999999999</v>
      </c>
      <c r="K15" s="3">
        <v>24</v>
      </c>
      <c r="L15" s="3">
        <v>84.9</v>
      </c>
      <c r="M15" s="3">
        <v>1.06</v>
      </c>
      <c r="N15" s="3">
        <v>0</v>
      </c>
      <c r="O15" s="3">
        <v>4.3</v>
      </c>
      <c r="P15" s="3">
        <v>726606.28</v>
      </c>
      <c r="Q15" s="3">
        <v>122729.29</v>
      </c>
    </row>
    <row r="16" spans="1:17">
      <c r="A16" s="3" t="s">
        <v>22</v>
      </c>
      <c r="B16" s="5">
        <v>45717</v>
      </c>
      <c r="C16" s="3" t="s">
        <v>16</v>
      </c>
      <c r="D16" s="3" t="s">
        <v>15</v>
      </c>
      <c r="E16" s="4">
        <f t="shared" si="0"/>
        <v>0</v>
      </c>
      <c r="F16" s="4">
        <f t="shared" si="1"/>
        <v>1</v>
      </c>
      <c r="G16" s="4">
        <f t="shared" si="2"/>
        <v>0</v>
      </c>
      <c r="H16" s="3">
        <v>59909.51</v>
      </c>
      <c r="I16" s="3">
        <v>8895</v>
      </c>
      <c r="J16" s="3">
        <v>0.22800000000000001</v>
      </c>
      <c r="K16" s="3">
        <v>23</v>
      </c>
      <c r="L16" s="3">
        <v>88.8</v>
      </c>
      <c r="M16" s="3">
        <v>0.27</v>
      </c>
      <c r="N16" s="3">
        <v>0</v>
      </c>
      <c r="O16" s="3">
        <v>4.3</v>
      </c>
      <c r="P16" s="3">
        <v>746501.09</v>
      </c>
      <c r="Q16" s="3">
        <v>136816.72</v>
      </c>
    </row>
    <row r="17" spans="1:17">
      <c r="A17" s="3" t="s">
        <v>22</v>
      </c>
      <c r="B17" s="5">
        <v>45748</v>
      </c>
      <c r="C17" s="3" t="s">
        <v>16</v>
      </c>
      <c r="D17" s="3" t="s">
        <v>15</v>
      </c>
      <c r="E17" s="4">
        <f t="shared" si="0"/>
        <v>0</v>
      </c>
      <c r="F17" s="4">
        <f t="shared" si="1"/>
        <v>1</v>
      </c>
      <c r="G17" s="4">
        <f t="shared" si="2"/>
        <v>0</v>
      </c>
      <c r="H17" s="3">
        <v>75305.710000000006</v>
      </c>
      <c r="I17" s="3">
        <v>10940</v>
      </c>
      <c r="J17" s="3">
        <v>6.0000000000000001E-3</v>
      </c>
      <c r="K17" s="3">
        <v>26</v>
      </c>
      <c r="L17" s="3">
        <v>76.5</v>
      </c>
      <c r="M17" s="3">
        <v>1.32</v>
      </c>
      <c r="N17" s="3">
        <v>0</v>
      </c>
      <c r="O17" s="3">
        <v>4.5</v>
      </c>
      <c r="P17" s="3">
        <v>834017.02</v>
      </c>
      <c r="Q17" s="3">
        <v>114745.03</v>
      </c>
    </row>
    <row r="18" spans="1:17">
      <c r="A18" s="3" t="s">
        <v>23</v>
      </c>
      <c r="B18" s="5">
        <v>45658</v>
      </c>
      <c r="C18" s="3" t="s">
        <v>16</v>
      </c>
      <c r="D18" s="3" t="s">
        <v>24</v>
      </c>
      <c r="E18" s="4">
        <f t="shared" si="0"/>
        <v>1</v>
      </c>
      <c r="F18" s="4">
        <f t="shared" si="1"/>
        <v>0</v>
      </c>
      <c r="G18" s="4">
        <f t="shared" si="2"/>
        <v>0</v>
      </c>
      <c r="H18" s="3">
        <v>48804.22</v>
      </c>
      <c r="I18" s="3">
        <v>7057</v>
      </c>
      <c r="J18" s="3">
        <v>5.0000000000000001E-3</v>
      </c>
      <c r="K18" s="3">
        <v>15</v>
      </c>
      <c r="L18" s="3">
        <v>87.7</v>
      </c>
      <c r="M18" s="3">
        <v>1.22</v>
      </c>
      <c r="N18" s="3">
        <v>0</v>
      </c>
      <c r="O18" s="3">
        <v>3.7</v>
      </c>
      <c r="P18" s="3">
        <v>666152.52</v>
      </c>
      <c r="Q18" s="3">
        <v>107490.58</v>
      </c>
    </row>
    <row r="19" spans="1:17">
      <c r="A19" s="3" t="s">
        <v>23</v>
      </c>
      <c r="B19" s="5">
        <v>45689</v>
      </c>
      <c r="C19" s="3" t="s">
        <v>16</v>
      </c>
      <c r="D19" s="3" t="s">
        <v>24</v>
      </c>
      <c r="E19" s="4">
        <f t="shared" si="0"/>
        <v>1</v>
      </c>
      <c r="F19" s="4">
        <f t="shared" si="1"/>
        <v>0</v>
      </c>
      <c r="G19" s="4">
        <f t="shared" si="2"/>
        <v>0</v>
      </c>
      <c r="H19" s="3">
        <v>59117.9</v>
      </c>
      <c r="I19" s="3">
        <v>4263</v>
      </c>
      <c r="J19" s="3">
        <v>0.11899999999999999</v>
      </c>
      <c r="K19" s="3">
        <v>9</v>
      </c>
      <c r="L19" s="3">
        <v>87.6</v>
      </c>
      <c r="M19" s="3">
        <v>4.01</v>
      </c>
      <c r="N19" s="3">
        <v>0</v>
      </c>
      <c r="O19" s="3">
        <v>3.6</v>
      </c>
      <c r="P19" s="3">
        <v>573155.18999999994</v>
      </c>
      <c r="Q19" s="3">
        <v>83680.75</v>
      </c>
    </row>
    <row r="20" spans="1:17">
      <c r="A20" s="3" t="s">
        <v>23</v>
      </c>
      <c r="B20" s="5">
        <v>45717</v>
      </c>
      <c r="C20" s="3" t="s">
        <v>16</v>
      </c>
      <c r="D20" s="3" t="s">
        <v>24</v>
      </c>
      <c r="E20" s="4">
        <f t="shared" si="0"/>
        <v>1</v>
      </c>
      <c r="F20" s="4">
        <f t="shared" si="1"/>
        <v>0</v>
      </c>
      <c r="G20" s="4">
        <f t="shared" si="2"/>
        <v>0</v>
      </c>
      <c r="H20" s="3">
        <v>78831.12</v>
      </c>
      <c r="I20" s="3">
        <v>5538</v>
      </c>
      <c r="J20" s="3">
        <v>0</v>
      </c>
      <c r="K20" s="3">
        <v>15</v>
      </c>
      <c r="L20" s="3">
        <v>94.1</v>
      </c>
      <c r="M20" s="3">
        <v>0.2</v>
      </c>
      <c r="N20" s="3">
        <v>0</v>
      </c>
      <c r="O20" s="3">
        <v>3.9</v>
      </c>
      <c r="P20" s="3">
        <v>666573.19999999995</v>
      </c>
      <c r="Q20" s="3">
        <v>140641.01999999999</v>
      </c>
    </row>
    <row r="21" spans="1:17">
      <c r="A21" s="3" t="s">
        <v>23</v>
      </c>
      <c r="B21" s="5">
        <v>45748</v>
      </c>
      <c r="C21" s="3" t="s">
        <v>16</v>
      </c>
      <c r="D21" s="3" t="s">
        <v>24</v>
      </c>
      <c r="E21" s="4">
        <f t="shared" si="0"/>
        <v>1</v>
      </c>
      <c r="F21" s="4">
        <f t="shared" si="1"/>
        <v>0</v>
      </c>
      <c r="G21" s="4">
        <f t="shared" si="2"/>
        <v>0</v>
      </c>
      <c r="H21" s="3">
        <v>41441.93</v>
      </c>
      <c r="I21" s="3">
        <v>4865</v>
      </c>
      <c r="J21" s="3">
        <v>0.158</v>
      </c>
      <c r="K21" s="3">
        <v>16</v>
      </c>
      <c r="L21" s="3">
        <v>88.3</v>
      </c>
      <c r="M21" s="3">
        <v>0.5</v>
      </c>
      <c r="N21" s="3">
        <v>0</v>
      </c>
      <c r="O21" s="3">
        <v>4</v>
      </c>
      <c r="P21" s="3">
        <v>591619.94999999995</v>
      </c>
      <c r="Q21" s="3">
        <v>99521.35</v>
      </c>
    </row>
    <row r="22" spans="1:17">
      <c r="A22" s="3" t="s">
        <v>25</v>
      </c>
      <c r="B22" s="5">
        <v>45658</v>
      </c>
      <c r="C22" s="3" t="s">
        <v>16</v>
      </c>
      <c r="D22" s="3" t="s">
        <v>20</v>
      </c>
      <c r="E22" s="4">
        <f t="shared" si="0"/>
        <v>0</v>
      </c>
      <c r="F22" s="4">
        <f t="shared" si="1"/>
        <v>0</v>
      </c>
      <c r="G22" s="4">
        <f t="shared" si="2"/>
        <v>0</v>
      </c>
      <c r="H22" s="3">
        <v>30356.28</v>
      </c>
      <c r="I22" s="3">
        <v>2822</v>
      </c>
      <c r="J22" s="3">
        <v>0.23100000000000001</v>
      </c>
      <c r="K22" s="3">
        <v>9</v>
      </c>
      <c r="L22" s="3">
        <v>84.8</v>
      </c>
      <c r="M22" s="3">
        <v>6.95</v>
      </c>
      <c r="N22" s="3">
        <v>0</v>
      </c>
      <c r="O22" s="3">
        <v>5</v>
      </c>
      <c r="P22" s="3">
        <v>415721.82</v>
      </c>
      <c r="Q22" s="3">
        <v>61179.15</v>
      </c>
    </row>
    <row r="23" spans="1:17">
      <c r="A23" s="3" t="s">
        <v>25</v>
      </c>
      <c r="B23" s="5">
        <v>45689</v>
      </c>
      <c r="C23" s="3" t="s">
        <v>16</v>
      </c>
      <c r="D23" s="3" t="s">
        <v>20</v>
      </c>
      <c r="E23" s="4">
        <f t="shared" si="0"/>
        <v>0</v>
      </c>
      <c r="F23" s="4">
        <f t="shared" si="1"/>
        <v>0</v>
      </c>
      <c r="G23" s="4">
        <f t="shared" si="2"/>
        <v>0</v>
      </c>
      <c r="H23" s="3">
        <v>33518.879999999997</v>
      </c>
      <c r="I23" s="3">
        <v>2121</v>
      </c>
      <c r="J23" s="3">
        <v>0.17599999999999999</v>
      </c>
      <c r="K23" s="3">
        <v>8</v>
      </c>
      <c r="L23" s="3">
        <v>88.5</v>
      </c>
      <c r="M23" s="3">
        <v>0.2</v>
      </c>
      <c r="N23" s="3">
        <v>0</v>
      </c>
      <c r="O23" s="3">
        <v>5</v>
      </c>
      <c r="P23" s="3">
        <v>491905.13</v>
      </c>
      <c r="Q23" s="3">
        <v>79212.259999999995</v>
      </c>
    </row>
    <row r="24" spans="1:17">
      <c r="A24" s="3" t="s">
        <v>25</v>
      </c>
      <c r="B24" s="5">
        <v>45717</v>
      </c>
      <c r="C24" s="3" t="s">
        <v>16</v>
      </c>
      <c r="D24" s="3" t="s">
        <v>20</v>
      </c>
      <c r="E24" s="4">
        <f t="shared" si="0"/>
        <v>0</v>
      </c>
      <c r="F24" s="4">
        <f t="shared" si="1"/>
        <v>0</v>
      </c>
      <c r="G24" s="4">
        <f t="shared" si="2"/>
        <v>0</v>
      </c>
      <c r="H24" s="3">
        <v>42267.37</v>
      </c>
      <c r="I24" s="3">
        <v>3364</v>
      </c>
      <c r="J24" s="3">
        <v>0.16</v>
      </c>
      <c r="K24" s="3">
        <v>13</v>
      </c>
      <c r="L24" s="3">
        <v>82</v>
      </c>
      <c r="M24" s="3">
        <v>1.61</v>
      </c>
      <c r="N24" s="3">
        <v>1</v>
      </c>
      <c r="O24" s="3">
        <v>4.5999999999999996</v>
      </c>
      <c r="P24" s="3">
        <v>555929.4</v>
      </c>
      <c r="Q24" s="3">
        <v>115201.76</v>
      </c>
    </row>
    <row r="25" spans="1:17">
      <c r="A25" s="3" t="s">
        <v>25</v>
      </c>
      <c r="B25" s="5">
        <v>45748</v>
      </c>
      <c r="C25" s="3" t="s">
        <v>16</v>
      </c>
      <c r="D25" s="3" t="s">
        <v>20</v>
      </c>
      <c r="E25" s="4">
        <f t="shared" si="0"/>
        <v>0</v>
      </c>
      <c r="F25" s="4">
        <f t="shared" si="1"/>
        <v>0</v>
      </c>
      <c r="G25" s="4">
        <f t="shared" si="2"/>
        <v>0</v>
      </c>
      <c r="H25" s="3">
        <v>62060.43</v>
      </c>
      <c r="I25" s="3">
        <v>2613</v>
      </c>
      <c r="J25" s="3">
        <v>0.216</v>
      </c>
      <c r="K25" s="3">
        <v>12</v>
      </c>
      <c r="L25" s="3">
        <v>92.1</v>
      </c>
      <c r="M25" s="3">
        <v>1.55</v>
      </c>
      <c r="N25" s="3">
        <v>0</v>
      </c>
      <c r="O25" s="3">
        <v>4.7</v>
      </c>
      <c r="P25" s="3">
        <v>565810.99</v>
      </c>
      <c r="Q25" s="3">
        <v>77825.460000000006</v>
      </c>
    </row>
    <row r="26" spans="1:17">
      <c r="A26" s="3" t="s">
        <v>26</v>
      </c>
      <c r="B26" s="5">
        <v>45658</v>
      </c>
      <c r="C26" s="3" t="s">
        <v>28</v>
      </c>
      <c r="D26" s="3" t="s">
        <v>27</v>
      </c>
      <c r="E26" s="4">
        <f t="shared" si="0"/>
        <v>0</v>
      </c>
      <c r="F26" s="4">
        <f t="shared" si="1"/>
        <v>0</v>
      </c>
      <c r="G26" s="4">
        <f t="shared" si="2"/>
        <v>1</v>
      </c>
      <c r="H26" s="3">
        <v>57696.69</v>
      </c>
      <c r="I26" s="3">
        <v>10218</v>
      </c>
      <c r="J26" s="3">
        <v>0.121</v>
      </c>
      <c r="K26" s="3">
        <v>25</v>
      </c>
      <c r="L26" s="3">
        <v>94.8</v>
      </c>
      <c r="M26" s="3">
        <v>2.99</v>
      </c>
      <c r="N26" s="3">
        <v>0</v>
      </c>
      <c r="O26" s="3">
        <v>3.5</v>
      </c>
      <c r="P26" s="3">
        <v>811771.14</v>
      </c>
      <c r="Q26" s="3">
        <v>148756.24</v>
      </c>
    </row>
    <row r="27" spans="1:17">
      <c r="A27" s="3" t="s">
        <v>26</v>
      </c>
      <c r="B27" s="5">
        <v>45689</v>
      </c>
      <c r="C27" s="3" t="s">
        <v>28</v>
      </c>
      <c r="D27" s="3" t="s">
        <v>27</v>
      </c>
      <c r="E27" s="4">
        <f t="shared" si="0"/>
        <v>0</v>
      </c>
      <c r="F27" s="4">
        <f t="shared" si="1"/>
        <v>0</v>
      </c>
      <c r="G27" s="4">
        <f t="shared" si="2"/>
        <v>1</v>
      </c>
      <c r="H27" s="3">
        <v>172415.52</v>
      </c>
      <c r="I27" s="3">
        <v>8927</v>
      </c>
      <c r="J27" s="3">
        <v>0.14000000000000001</v>
      </c>
      <c r="K27" s="3">
        <v>22</v>
      </c>
      <c r="L27" s="3">
        <v>86.2</v>
      </c>
      <c r="M27" s="3">
        <v>7.04</v>
      </c>
      <c r="N27" s="3">
        <v>0</v>
      </c>
      <c r="O27" s="3">
        <v>3.9</v>
      </c>
      <c r="P27" s="3">
        <v>800451.94</v>
      </c>
      <c r="Q27" s="3">
        <v>111572.29</v>
      </c>
    </row>
    <row r="28" spans="1:17">
      <c r="A28" s="3" t="s">
        <v>26</v>
      </c>
      <c r="B28" s="5">
        <v>45717</v>
      </c>
      <c r="C28" s="3" t="s">
        <v>28</v>
      </c>
      <c r="D28" s="3" t="s">
        <v>27</v>
      </c>
      <c r="E28" s="4">
        <f t="shared" si="0"/>
        <v>0</v>
      </c>
      <c r="F28" s="4">
        <f t="shared" si="1"/>
        <v>0</v>
      </c>
      <c r="G28" s="4">
        <f t="shared" si="2"/>
        <v>1</v>
      </c>
      <c r="H28" s="3">
        <v>55270.52</v>
      </c>
      <c r="I28" s="3">
        <v>9315</v>
      </c>
      <c r="J28" s="3">
        <v>0.16900000000000001</v>
      </c>
      <c r="K28" s="3">
        <v>23</v>
      </c>
      <c r="L28" s="3">
        <v>91.9</v>
      </c>
      <c r="M28" s="3">
        <v>4.9400000000000004</v>
      </c>
      <c r="N28" s="3">
        <v>0</v>
      </c>
      <c r="O28" s="3">
        <v>4</v>
      </c>
      <c r="P28" s="3">
        <v>783672.82</v>
      </c>
      <c r="Q28" s="3">
        <v>112577.14</v>
      </c>
    </row>
    <row r="29" spans="1:17">
      <c r="A29" s="3" t="s">
        <v>26</v>
      </c>
      <c r="B29" s="5">
        <v>45748</v>
      </c>
      <c r="C29" s="3" t="s">
        <v>28</v>
      </c>
      <c r="D29" s="3" t="s">
        <v>27</v>
      </c>
      <c r="E29" s="4">
        <f t="shared" si="0"/>
        <v>0</v>
      </c>
      <c r="F29" s="4">
        <f t="shared" si="1"/>
        <v>0</v>
      </c>
      <c r="G29" s="4">
        <f t="shared" si="2"/>
        <v>1</v>
      </c>
      <c r="H29" s="3">
        <v>52715.1</v>
      </c>
      <c r="I29" s="3">
        <v>7223</v>
      </c>
      <c r="J29" s="3">
        <v>0.122</v>
      </c>
      <c r="K29" s="3">
        <v>16</v>
      </c>
      <c r="L29" s="3">
        <v>84.2</v>
      </c>
      <c r="M29" s="3">
        <v>16.149999999999999</v>
      </c>
      <c r="N29" s="3">
        <v>0</v>
      </c>
      <c r="O29" s="3">
        <v>3.7</v>
      </c>
      <c r="P29" s="3">
        <v>701641.97</v>
      </c>
      <c r="Q29" s="3">
        <v>106111.86</v>
      </c>
    </row>
    <row r="30" spans="1:17">
      <c r="A30" s="3" t="s">
        <v>29</v>
      </c>
      <c r="B30" s="5">
        <v>45658</v>
      </c>
      <c r="C30" s="3" t="s">
        <v>16</v>
      </c>
      <c r="D30" s="3" t="s">
        <v>15</v>
      </c>
      <c r="E30" s="4">
        <f t="shared" si="0"/>
        <v>0</v>
      </c>
      <c r="F30" s="4">
        <f t="shared" si="1"/>
        <v>1</v>
      </c>
      <c r="G30" s="4">
        <f t="shared" si="2"/>
        <v>0</v>
      </c>
      <c r="H30" s="3">
        <v>68600.62</v>
      </c>
      <c r="I30" s="3">
        <v>3988</v>
      </c>
      <c r="J30" s="3">
        <v>0.124</v>
      </c>
      <c r="K30" s="3">
        <v>11</v>
      </c>
      <c r="L30" s="3">
        <v>85</v>
      </c>
      <c r="M30" s="3">
        <v>0.48</v>
      </c>
      <c r="N30" s="3">
        <v>0</v>
      </c>
      <c r="O30" s="3">
        <v>3.6</v>
      </c>
      <c r="P30" s="3">
        <v>511844.41</v>
      </c>
      <c r="Q30" s="3">
        <v>72774.44</v>
      </c>
    </row>
    <row r="31" spans="1:17">
      <c r="A31" s="3" t="s">
        <v>29</v>
      </c>
      <c r="B31" s="5">
        <v>45689</v>
      </c>
      <c r="C31" s="3" t="s">
        <v>16</v>
      </c>
      <c r="D31" s="3" t="s">
        <v>15</v>
      </c>
      <c r="E31" s="4">
        <f t="shared" si="0"/>
        <v>0</v>
      </c>
      <c r="F31" s="4">
        <f t="shared" si="1"/>
        <v>1</v>
      </c>
      <c r="G31" s="4">
        <f t="shared" si="2"/>
        <v>0</v>
      </c>
      <c r="H31" s="3">
        <v>63176.73</v>
      </c>
      <c r="I31" s="3">
        <v>2390</v>
      </c>
      <c r="J31" s="3">
        <v>0.216</v>
      </c>
      <c r="K31" s="3">
        <v>9</v>
      </c>
      <c r="L31" s="3">
        <v>87.5</v>
      </c>
      <c r="M31" s="3">
        <v>0.31</v>
      </c>
      <c r="N31" s="3">
        <v>0</v>
      </c>
      <c r="O31" s="3">
        <v>3.1</v>
      </c>
      <c r="P31" s="3">
        <v>537383.79</v>
      </c>
      <c r="Q31" s="3">
        <v>63773.27</v>
      </c>
    </row>
    <row r="32" spans="1:17">
      <c r="A32" s="3" t="s">
        <v>29</v>
      </c>
      <c r="B32" s="5">
        <v>45717</v>
      </c>
      <c r="C32" s="3" t="s">
        <v>16</v>
      </c>
      <c r="D32" s="3" t="s">
        <v>15</v>
      </c>
      <c r="E32" s="4">
        <f t="shared" si="0"/>
        <v>0</v>
      </c>
      <c r="F32" s="4">
        <f t="shared" si="1"/>
        <v>1</v>
      </c>
      <c r="G32" s="4">
        <f t="shared" si="2"/>
        <v>0</v>
      </c>
      <c r="H32" s="3">
        <v>44970.080000000002</v>
      </c>
      <c r="I32" s="3">
        <v>2471</v>
      </c>
      <c r="J32" s="3">
        <v>0.13600000000000001</v>
      </c>
      <c r="K32" s="3">
        <v>11</v>
      </c>
      <c r="L32" s="3">
        <v>87.6</v>
      </c>
      <c r="M32" s="3">
        <v>3.01</v>
      </c>
      <c r="N32" s="3">
        <v>1</v>
      </c>
      <c r="O32" s="3">
        <v>3.7</v>
      </c>
      <c r="P32" s="3">
        <v>500173.02</v>
      </c>
      <c r="Q32" s="3">
        <v>70982.05</v>
      </c>
    </row>
    <row r="33" spans="1:17">
      <c r="A33" s="3" t="s">
        <v>29</v>
      </c>
      <c r="B33" s="5">
        <v>45748</v>
      </c>
      <c r="C33" s="3" t="s">
        <v>16</v>
      </c>
      <c r="D33" s="3" t="s">
        <v>15</v>
      </c>
      <c r="E33" s="4">
        <f t="shared" si="0"/>
        <v>0</v>
      </c>
      <c r="F33" s="4">
        <f t="shared" si="1"/>
        <v>1</v>
      </c>
      <c r="G33" s="4">
        <f t="shared" si="2"/>
        <v>0</v>
      </c>
      <c r="H33" s="3">
        <v>69816.350000000006</v>
      </c>
      <c r="I33" s="3">
        <v>971</v>
      </c>
      <c r="J33" s="3">
        <v>0.16800000000000001</v>
      </c>
      <c r="K33" s="3">
        <v>5</v>
      </c>
      <c r="L33" s="3">
        <v>89.9</v>
      </c>
      <c r="M33" s="3">
        <v>12.15</v>
      </c>
      <c r="N33" s="3">
        <v>0</v>
      </c>
      <c r="O33" s="3">
        <v>3.6</v>
      </c>
      <c r="P33" s="3">
        <v>427917.38</v>
      </c>
      <c r="Q33" s="3">
        <v>81824.31</v>
      </c>
    </row>
    <row r="34" spans="1:17">
      <c r="A34" s="3" t="s">
        <v>30</v>
      </c>
      <c r="B34" s="5">
        <v>45658</v>
      </c>
      <c r="C34" s="3" t="s">
        <v>16</v>
      </c>
      <c r="D34" s="3" t="s">
        <v>20</v>
      </c>
      <c r="E34" s="4">
        <f t="shared" si="0"/>
        <v>0</v>
      </c>
      <c r="F34" s="4">
        <f t="shared" si="1"/>
        <v>0</v>
      </c>
      <c r="G34" s="4">
        <f t="shared" si="2"/>
        <v>0</v>
      </c>
      <c r="H34" s="3">
        <v>54597.83</v>
      </c>
      <c r="I34" s="3">
        <v>9429</v>
      </c>
      <c r="J34" s="3">
        <v>0.188</v>
      </c>
      <c r="K34" s="3">
        <v>21</v>
      </c>
      <c r="L34" s="3">
        <v>83.3</v>
      </c>
      <c r="M34" s="3">
        <v>11.71</v>
      </c>
      <c r="N34" s="3">
        <v>0</v>
      </c>
      <c r="O34" s="3">
        <v>4.2</v>
      </c>
      <c r="P34" s="3">
        <v>641865.03</v>
      </c>
      <c r="Q34" s="3">
        <v>81342.58</v>
      </c>
    </row>
    <row r="35" spans="1:17">
      <c r="A35" s="3" t="s">
        <v>30</v>
      </c>
      <c r="B35" s="5">
        <v>45689</v>
      </c>
      <c r="C35" s="3" t="s">
        <v>16</v>
      </c>
      <c r="D35" s="3" t="s">
        <v>20</v>
      </c>
      <c r="E35" s="4">
        <f t="shared" si="0"/>
        <v>0</v>
      </c>
      <c r="F35" s="4">
        <f t="shared" si="1"/>
        <v>0</v>
      </c>
      <c r="G35" s="4">
        <f t="shared" si="2"/>
        <v>0</v>
      </c>
      <c r="H35" s="3">
        <v>73771.91</v>
      </c>
      <c r="I35" s="3">
        <v>11695</v>
      </c>
      <c r="J35" s="3">
        <v>7.0000000000000007E-2</v>
      </c>
      <c r="K35" s="3">
        <v>25</v>
      </c>
      <c r="L35" s="3">
        <v>84.7</v>
      </c>
      <c r="M35" s="3">
        <v>0.62</v>
      </c>
      <c r="N35" s="3">
        <v>0</v>
      </c>
      <c r="O35" s="4">
        <v>0</v>
      </c>
      <c r="P35" s="3">
        <v>799477.76000000001</v>
      </c>
      <c r="Q35" s="3">
        <v>164974.41</v>
      </c>
    </row>
    <row r="36" spans="1:17">
      <c r="A36" s="3" t="s">
        <v>30</v>
      </c>
      <c r="B36" s="5">
        <v>45717</v>
      </c>
      <c r="C36" s="3" t="s">
        <v>16</v>
      </c>
      <c r="D36" s="3" t="s">
        <v>20</v>
      </c>
      <c r="E36" s="4">
        <f t="shared" si="0"/>
        <v>0</v>
      </c>
      <c r="F36" s="4">
        <f t="shared" si="1"/>
        <v>0</v>
      </c>
      <c r="G36" s="4">
        <f t="shared" si="2"/>
        <v>0</v>
      </c>
      <c r="H36" s="3">
        <v>74413.88</v>
      </c>
      <c r="I36" s="3">
        <v>9449</v>
      </c>
      <c r="J36" s="3">
        <v>3.9E-2</v>
      </c>
      <c r="K36" s="3">
        <v>23</v>
      </c>
      <c r="L36" s="3">
        <v>92.1</v>
      </c>
      <c r="M36" s="3">
        <v>2.12</v>
      </c>
      <c r="N36" s="3">
        <v>0</v>
      </c>
      <c r="O36" s="3">
        <v>3.5</v>
      </c>
      <c r="P36" s="3">
        <v>798952.17</v>
      </c>
      <c r="Q36" s="3">
        <v>161499.04</v>
      </c>
    </row>
    <row r="37" spans="1:17">
      <c r="A37" s="3" t="s">
        <v>30</v>
      </c>
      <c r="B37" s="5">
        <v>45748</v>
      </c>
      <c r="C37" s="3" t="s">
        <v>16</v>
      </c>
      <c r="D37" s="3" t="s">
        <v>20</v>
      </c>
      <c r="E37" s="4">
        <f t="shared" si="0"/>
        <v>0</v>
      </c>
      <c r="F37" s="4">
        <f t="shared" si="1"/>
        <v>0</v>
      </c>
      <c r="G37" s="4">
        <f t="shared" si="2"/>
        <v>0</v>
      </c>
      <c r="H37" s="3">
        <v>52483.77</v>
      </c>
      <c r="I37" s="3">
        <v>10453</v>
      </c>
      <c r="J37" s="3">
        <v>0.247</v>
      </c>
      <c r="K37" s="3">
        <v>25</v>
      </c>
      <c r="L37" s="3">
        <v>99</v>
      </c>
      <c r="M37" s="3">
        <v>6.31</v>
      </c>
      <c r="N37" s="3">
        <v>0</v>
      </c>
      <c r="O37" s="3">
        <v>3.6</v>
      </c>
      <c r="P37" s="3">
        <v>800979.78</v>
      </c>
      <c r="Q37" s="3">
        <v>149242.26999999999</v>
      </c>
    </row>
    <row r="38" spans="1:17">
      <c r="A38" s="3" t="s">
        <v>31</v>
      </c>
      <c r="B38" s="5">
        <v>45658</v>
      </c>
      <c r="C38" s="3" t="s">
        <v>28</v>
      </c>
      <c r="D38" s="3" t="s">
        <v>20</v>
      </c>
      <c r="E38" s="4">
        <f t="shared" si="0"/>
        <v>0</v>
      </c>
      <c r="F38" s="4">
        <f t="shared" si="1"/>
        <v>0</v>
      </c>
      <c r="G38" s="4">
        <f t="shared" si="2"/>
        <v>0</v>
      </c>
      <c r="H38" s="3">
        <v>75269.87</v>
      </c>
      <c r="I38" s="3">
        <v>8838</v>
      </c>
      <c r="J38" s="3">
        <v>9.1999999999999998E-2</v>
      </c>
      <c r="K38" s="3">
        <v>21</v>
      </c>
      <c r="L38" s="3">
        <v>83.1</v>
      </c>
      <c r="M38" s="3">
        <v>9.56</v>
      </c>
      <c r="N38" s="3">
        <v>1</v>
      </c>
      <c r="O38" s="3">
        <v>4.2</v>
      </c>
      <c r="P38" s="3">
        <v>820593.93</v>
      </c>
      <c r="Q38" s="3">
        <v>115860.06</v>
      </c>
    </row>
    <row r="39" spans="1:17">
      <c r="A39" s="3" t="s">
        <v>31</v>
      </c>
      <c r="B39" s="5">
        <v>45689</v>
      </c>
      <c r="C39" s="3" t="s">
        <v>28</v>
      </c>
      <c r="D39" s="3" t="s">
        <v>20</v>
      </c>
      <c r="E39" s="4">
        <f t="shared" si="0"/>
        <v>0</v>
      </c>
      <c r="F39" s="4">
        <f t="shared" si="1"/>
        <v>0</v>
      </c>
      <c r="G39" s="4">
        <f t="shared" si="2"/>
        <v>0</v>
      </c>
      <c r="H39" s="3">
        <v>61245.41</v>
      </c>
      <c r="I39" s="3">
        <v>8156</v>
      </c>
      <c r="J39" s="3">
        <v>0.156</v>
      </c>
      <c r="K39" s="3">
        <v>19</v>
      </c>
      <c r="L39" s="3">
        <v>92.9</v>
      </c>
      <c r="M39" s="3">
        <v>9.0500000000000007</v>
      </c>
      <c r="N39" s="3">
        <v>0</v>
      </c>
      <c r="O39" s="3">
        <v>3.8</v>
      </c>
      <c r="P39" s="3">
        <v>718330.53</v>
      </c>
      <c r="Q39" s="3">
        <v>93247.9</v>
      </c>
    </row>
    <row r="40" spans="1:17">
      <c r="A40" s="3" t="s">
        <v>31</v>
      </c>
      <c r="B40" s="5">
        <v>45717</v>
      </c>
      <c r="C40" s="3" t="s">
        <v>28</v>
      </c>
      <c r="D40" s="3" t="s">
        <v>20</v>
      </c>
      <c r="E40" s="4">
        <f t="shared" si="0"/>
        <v>0</v>
      </c>
      <c r="F40" s="4">
        <f t="shared" si="1"/>
        <v>0</v>
      </c>
      <c r="G40" s="4">
        <f t="shared" si="2"/>
        <v>0</v>
      </c>
      <c r="H40" s="3">
        <v>93381.26</v>
      </c>
      <c r="I40" s="3">
        <v>7562</v>
      </c>
      <c r="J40" s="3">
        <v>0.19800000000000001</v>
      </c>
      <c r="K40" s="3">
        <v>19</v>
      </c>
      <c r="L40" s="3">
        <v>82.9</v>
      </c>
      <c r="M40" s="3">
        <v>5.05</v>
      </c>
      <c r="N40" s="3">
        <v>0</v>
      </c>
      <c r="O40" s="3">
        <v>4</v>
      </c>
      <c r="P40" s="3">
        <v>736633.4</v>
      </c>
      <c r="Q40" s="3">
        <v>115654.66</v>
      </c>
    </row>
    <row r="41" spans="1:17">
      <c r="A41" s="3" t="s">
        <v>31</v>
      </c>
      <c r="B41" s="5">
        <v>45748</v>
      </c>
      <c r="C41" s="3" t="s">
        <v>28</v>
      </c>
      <c r="D41" s="3" t="s">
        <v>20</v>
      </c>
      <c r="E41" s="4">
        <f t="shared" si="0"/>
        <v>0</v>
      </c>
      <c r="F41" s="4">
        <f t="shared" si="1"/>
        <v>0</v>
      </c>
      <c r="G41" s="4">
        <f t="shared" si="2"/>
        <v>0</v>
      </c>
      <c r="H41" s="3">
        <v>65012.19</v>
      </c>
      <c r="I41" s="3">
        <v>9598</v>
      </c>
      <c r="J41" s="3">
        <v>8.5000000000000006E-2</v>
      </c>
      <c r="K41" s="3">
        <v>24</v>
      </c>
      <c r="L41" s="3">
        <v>98.3</v>
      </c>
      <c r="M41" s="3">
        <v>0.89</v>
      </c>
      <c r="N41" s="3">
        <v>0</v>
      </c>
      <c r="O41" s="3">
        <v>3.8</v>
      </c>
      <c r="P41" s="3">
        <v>828623.85</v>
      </c>
      <c r="Q41" s="3">
        <v>167320.51999999999</v>
      </c>
    </row>
    <row r="42" spans="1:17">
      <c r="A42" s="3" t="s">
        <v>32</v>
      </c>
      <c r="B42" s="5">
        <v>45658</v>
      </c>
      <c r="C42" s="3" t="s">
        <v>28</v>
      </c>
      <c r="D42" s="3" t="s">
        <v>15</v>
      </c>
      <c r="E42" s="4">
        <f t="shared" si="0"/>
        <v>0</v>
      </c>
      <c r="F42" s="4">
        <f t="shared" si="1"/>
        <v>1</v>
      </c>
      <c r="G42" s="4">
        <f t="shared" si="2"/>
        <v>0</v>
      </c>
      <c r="H42" s="3">
        <v>40462.94</v>
      </c>
      <c r="I42" s="3">
        <v>3660</v>
      </c>
      <c r="J42" s="3">
        <v>0.218</v>
      </c>
      <c r="K42" s="3">
        <v>11</v>
      </c>
      <c r="L42" s="3">
        <v>95.2</v>
      </c>
      <c r="M42" s="3">
        <v>5.57</v>
      </c>
      <c r="N42" s="3">
        <v>0</v>
      </c>
      <c r="O42" s="3">
        <v>4.4000000000000004</v>
      </c>
      <c r="P42" s="3">
        <v>592195.85</v>
      </c>
      <c r="Q42" s="3">
        <v>92291.56</v>
      </c>
    </row>
    <row r="43" spans="1:17">
      <c r="A43" s="3" t="s">
        <v>32</v>
      </c>
      <c r="B43" s="5">
        <v>45689</v>
      </c>
      <c r="C43" s="3" t="s">
        <v>28</v>
      </c>
      <c r="D43" s="3" t="s">
        <v>15</v>
      </c>
      <c r="E43" s="4">
        <f t="shared" si="0"/>
        <v>0</v>
      </c>
      <c r="F43" s="4">
        <f t="shared" si="1"/>
        <v>1</v>
      </c>
      <c r="G43" s="4">
        <f t="shared" si="2"/>
        <v>0</v>
      </c>
      <c r="H43" s="3">
        <v>46123.88</v>
      </c>
      <c r="I43" s="3">
        <v>3227</v>
      </c>
      <c r="J43" s="3">
        <v>0.14299999999999999</v>
      </c>
      <c r="K43" s="3">
        <v>10</v>
      </c>
      <c r="L43" s="3">
        <v>75.400000000000006</v>
      </c>
      <c r="M43" s="3">
        <v>1.06</v>
      </c>
      <c r="N43" s="3">
        <v>0</v>
      </c>
      <c r="O43" s="3">
        <v>4.4000000000000004</v>
      </c>
      <c r="P43" s="3">
        <v>532644.46</v>
      </c>
      <c r="Q43" s="3">
        <v>60681.32</v>
      </c>
    </row>
    <row r="44" spans="1:17">
      <c r="A44" s="3" t="s">
        <v>32</v>
      </c>
      <c r="B44" s="5">
        <v>45717</v>
      </c>
      <c r="C44" s="3" t="s">
        <v>28</v>
      </c>
      <c r="D44" s="3" t="s">
        <v>15</v>
      </c>
      <c r="E44" s="4">
        <f t="shared" si="0"/>
        <v>0</v>
      </c>
      <c r="F44" s="4">
        <f t="shared" si="1"/>
        <v>1</v>
      </c>
      <c r="G44" s="4">
        <f t="shared" si="2"/>
        <v>0</v>
      </c>
      <c r="H44" s="3">
        <v>68077.539999999994</v>
      </c>
      <c r="I44" s="3">
        <v>3360</v>
      </c>
      <c r="J44" s="3">
        <v>0.128</v>
      </c>
      <c r="K44" s="3">
        <v>14</v>
      </c>
      <c r="L44" s="3">
        <v>88.2</v>
      </c>
      <c r="M44" s="3">
        <v>1.24</v>
      </c>
      <c r="N44" s="3">
        <v>1</v>
      </c>
      <c r="O44" s="3">
        <v>4</v>
      </c>
      <c r="P44" s="3">
        <v>657429.18000000005</v>
      </c>
      <c r="Q44" s="3">
        <v>88919.74</v>
      </c>
    </row>
    <row r="45" spans="1:17">
      <c r="A45" s="3" t="s">
        <v>32</v>
      </c>
      <c r="B45" s="5">
        <v>45748</v>
      </c>
      <c r="C45" s="3" t="s">
        <v>28</v>
      </c>
      <c r="D45" s="3" t="s">
        <v>15</v>
      </c>
      <c r="E45" s="4">
        <f t="shared" si="0"/>
        <v>0</v>
      </c>
      <c r="F45" s="4">
        <f t="shared" si="1"/>
        <v>1</v>
      </c>
      <c r="G45" s="4">
        <f t="shared" si="2"/>
        <v>0</v>
      </c>
      <c r="H45" s="3">
        <v>64882.14</v>
      </c>
      <c r="I45" s="3">
        <v>3642</v>
      </c>
      <c r="J45" s="3">
        <v>1.9E-2</v>
      </c>
      <c r="K45" s="3">
        <v>13</v>
      </c>
      <c r="L45" s="3">
        <v>87.8</v>
      </c>
      <c r="M45" s="3">
        <v>4.5199999999999996</v>
      </c>
      <c r="N45" s="3">
        <v>0</v>
      </c>
      <c r="O45" s="3">
        <v>4.2</v>
      </c>
      <c r="P45" s="3">
        <v>605178</v>
      </c>
      <c r="Q45" s="3">
        <v>106958.74</v>
      </c>
    </row>
    <row r="46" spans="1:17">
      <c r="A46" s="3" t="s">
        <v>33</v>
      </c>
      <c r="B46" s="5">
        <v>45658</v>
      </c>
      <c r="C46" s="3" t="s">
        <v>16</v>
      </c>
      <c r="D46" s="3" t="s">
        <v>27</v>
      </c>
      <c r="E46" s="4">
        <f t="shared" si="0"/>
        <v>0</v>
      </c>
      <c r="F46" s="4">
        <f t="shared" si="1"/>
        <v>0</v>
      </c>
      <c r="G46" s="4">
        <f t="shared" si="2"/>
        <v>1</v>
      </c>
      <c r="H46" s="3">
        <v>138855.51</v>
      </c>
      <c r="I46" s="3">
        <v>5145</v>
      </c>
      <c r="J46" s="3">
        <v>0.06</v>
      </c>
      <c r="K46" s="3">
        <v>17</v>
      </c>
      <c r="L46" s="3">
        <v>88.2</v>
      </c>
      <c r="M46" s="3">
        <v>9.58</v>
      </c>
      <c r="N46" s="3">
        <v>0</v>
      </c>
      <c r="O46" s="3">
        <v>3.2</v>
      </c>
      <c r="P46" s="3">
        <v>595467.6</v>
      </c>
      <c r="Q46" s="3">
        <v>104276.46</v>
      </c>
    </row>
    <row r="47" spans="1:17">
      <c r="A47" s="3" t="s">
        <v>33</v>
      </c>
      <c r="B47" s="5">
        <v>45689</v>
      </c>
      <c r="C47" s="3" t="s">
        <v>16</v>
      </c>
      <c r="D47" s="3" t="s">
        <v>27</v>
      </c>
      <c r="E47" s="4">
        <f t="shared" si="0"/>
        <v>0</v>
      </c>
      <c r="F47" s="4">
        <f t="shared" si="1"/>
        <v>0</v>
      </c>
      <c r="G47" s="4">
        <f t="shared" si="2"/>
        <v>1</v>
      </c>
      <c r="H47" s="3">
        <v>63630.21</v>
      </c>
      <c r="I47" s="3">
        <v>4460</v>
      </c>
      <c r="J47" s="3">
        <v>0.23499999999999999</v>
      </c>
      <c r="K47" s="3">
        <v>14</v>
      </c>
      <c r="L47" s="3">
        <v>98.6</v>
      </c>
      <c r="M47" s="3">
        <v>5.52</v>
      </c>
      <c r="N47" s="3">
        <v>0</v>
      </c>
      <c r="O47" s="3">
        <v>3.5</v>
      </c>
      <c r="P47" s="3">
        <v>599603.4</v>
      </c>
      <c r="Q47" s="3">
        <v>112685.12</v>
      </c>
    </row>
    <row r="48" spans="1:17">
      <c r="A48" s="3" t="s">
        <v>33</v>
      </c>
      <c r="B48" s="5">
        <v>45717</v>
      </c>
      <c r="C48" s="3" t="s">
        <v>16</v>
      </c>
      <c r="D48" s="3" t="s">
        <v>27</v>
      </c>
      <c r="E48" s="4">
        <f t="shared" si="0"/>
        <v>0</v>
      </c>
      <c r="F48" s="4">
        <f t="shared" si="1"/>
        <v>0</v>
      </c>
      <c r="G48" s="4">
        <f t="shared" si="2"/>
        <v>1</v>
      </c>
      <c r="H48" s="3">
        <v>50043.65</v>
      </c>
      <c r="I48" s="3">
        <v>3804</v>
      </c>
      <c r="J48" s="3">
        <v>0.113</v>
      </c>
      <c r="K48" s="3">
        <v>11</v>
      </c>
      <c r="L48" s="3">
        <v>90.9</v>
      </c>
      <c r="M48" s="3">
        <v>2.7</v>
      </c>
      <c r="N48" s="3">
        <v>1</v>
      </c>
      <c r="O48" s="3">
        <v>3.2</v>
      </c>
      <c r="P48" s="3">
        <v>614800.09</v>
      </c>
      <c r="Q48" s="3">
        <v>100044.2</v>
      </c>
    </row>
    <row r="49" spans="1:17">
      <c r="A49" s="3" t="s">
        <v>33</v>
      </c>
      <c r="B49" s="5">
        <v>45748</v>
      </c>
      <c r="C49" s="3" t="s">
        <v>16</v>
      </c>
      <c r="D49" s="3" t="s">
        <v>27</v>
      </c>
      <c r="E49" s="4">
        <f t="shared" si="0"/>
        <v>0</v>
      </c>
      <c r="F49" s="4">
        <f t="shared" si="1"/>
        <v>0</v>
      </c>
      <c r="G49" s="4">
        <f t="shared" si="2"/>
        <v>1</v>
      </c>
      <c r="H49" s="3">
        <v>42093.84</v>
      </c>
      <c r="I49" s="3">
        <v>4074</v>
      </c>
      <c r="J49" s="3">
        <v>0.155</v>
      </c>
      <c r="K49" s="3">
        <v>15</v>
      </c>
      <c r="L49" s="3">
        <v>88</v>
      </c>
      <c r="M49" s="3">
        <v>9.64</v>
      </c>
      <c r="N49" s="3">
        <v>0</v>
      </c>
      <c r="O49" s="3">
        <v>3.3</v>
      </c>
      <c r="P49" s="3">
        <v>585365.73</v>
      </c>
      <c r="Q49" s="3">
        <v>81011.520000000004</v>
      </c>
    </row>
    <row r="50" spans="1:17">
      <c r="A50" s="3" t="s">
        <v>34</v>
      </c>
      <c r="B50" s="5">
        <v>45658</v>
      </c>
      <c r="C50" s="3" t="s">
        <v>28</v>
      </c>
      <c r="D50" s="3" t="s">
        <v>20</v>
      </c>
      <c r="E50" s="4">
        <f t="shared" si="0"/>
        <v>0</v>
      </c>
      <c r="F50" s="4">
        <f t="shared" si="1"/>
        <v>0</v>
      </c>
      <c r="G50" s="4">
        <f t="shared" si="2"/>
        <v>0</v>
      </c>
      <c r="H50" s="3">
        <v>46624.05</v>
      </c>
      <c r="I50" s="3">
        <v>5104</v>
      </c>
      <c r="J50" s="3">
        <v>0.109</v>
      </c>
      <c r="K50" s="3">
        <v>11</v>
      </c>
      <c r="L50" s="3">
        <v>97.3</v>
      </c>
      <c r="M50" s="3">
        <v>3.49</v>
      </c>
      <c r="N50" s="3">
        <v>1</v>
      </c>
      <c r="O50" s="3">
        <v>4.7</v>
      </c>
      <c r="P50" s="3">
        <v>622811.74</v>
      </c>
      <c r="Q50" s="3">
        <v>109978.35</v>
      </c>
    </row>
    <row r="51" spans="1:17">
      <c r="A51" s="3" t="s">
        <v>34</v>
      </c>
      <c r="B51" s="5">
        <v>45689</v>
      </c>
      <c r="C51" s="3" t="s">
        <v>28</v>
      </c>
      <c r="D51" s="3" t="s">
        <v>20</v>
      </c>
      <c r="E51" s="4">
        <f t="shared" si="0"/>
        <v>0</v>
      </c>
      <c r="F51" s="4">
        <f t="shared" si="1"/>
        <v>0</v>
      </c>
      <c r="G51" s="4">
        <f t="shared" si="2"/>
        <v>0</v>
      </c>
      <c r="H51" s="3">
        <v>49710.29</v>
      </c>
      <c r="I51" s="3">
        <v>5559</v>
      </c>
      <c r="J51" s="3">
        <v>0.218</v>
      </c>
      <c r="K51" s="3">
        <v>14</v>
      </c>
      <c r="L51" s="3">
        <v>71</v>
      </c>
      <c r="M51" s="3">
        <v>9.11</v>
      </c>
      <c r="N51" s="3">
        <v>0</v>
      </c>
      <c r="O51" s="3">
        <v>4.5999999999999996</v>
      </c>
      <c r="P51" s="3">
        <v>603297.56999999995</v>
      </c>
      <c r="Q51" s="3">
        <v>60592.26</v>
      </c>
    </row>
    <row r="52" spans="1:17">
      <c r="A52" s="3" t="s">
        <v>34</v>
      </c>
      <c r="B52" s="5">
        <v>45717</v>
      </c>
      <c r="C52" s="3" t="s">
        <v>28</v>
      </c>
      <c r="D52" s="3" t="s">
        <v>20</v>
      </c>
      <c r="E52" s="4">
        <f t="shared" si="0"/>
        <v>0</v>
      </c>
      <c r="F52" s="4">
        <f t="shared" si="1"/>
        <v>0</v>
      </c>
      <c r="G52" s="4">
        <f t="shared" si="2"/>
        <v>0</v>
      </c>
      <c r="H52" s="3">
        <v>48287.85</v>
      </c>
      <c r="I52" s="3">
        <v>5150</v>
      </c>
      <c r="J52" s="3">
        <v>8.0000000000000002E-3</v>
      </c>
      <c r="K52" s="3">
        <v>12</v>
      </c>
      <c r="L52" s="3">
        <v>80.400000000000006</v>
      </c>
      <c r="M52" s="3">
        <v>7.4</v>
      </c>
      <c r="N52" s="3">
        <v>0</v>
      </c>
      <c r="O52" s="3">
        <v>4.5</v>
      </c>
      <c r="P52" s="3">
        <v>625672.86</v>
      </c>
      <c r="Q52" s="3">
        <v>118020.12</v>
      </c>
    </row>
    <row r="53" spans="1:17">
      <c r="A53" s="3" t="s">
        <v>34</v>
      </c>
      <c r="B53" s="5">
        <v>45748</v>
      </c>
      <c r="C53" s="3" t="s">
        <v>28</v>
      </c>
      <c r="D53" s="3" t="s">
        <v>20</v>
      </c>
      <c r="E53" s="4">
        <f t="shared" si="0"/>
        <v>0</v>
      </c>
      <c r="F53" s="4">
        <f t="shared" si="1"/>
        <v>0</v>
      </c>
      <c r="G53" s="4">
        <f t="shared" si="2"/>
        <v>0</v>
      </c>
      <c r="H53" s="3">
        <v>65312.49</v>
      </c>
      <c r="I53" s="3">
        <v>7189</v>
      </c>
      <c r="J53" s="3">
        <v>0.05</v>
      </c>
      <c r="K53" s="3">
        <v>19</v>
      </c>
      <c r="L53" s="3">
        <v>93.7</v>
      </c>
      <c r="M53" s="3">
        <v>7.16</v>
      </c>
      <c r="N53" s="3">
        <v>0</v>
      </c>
      <c r="O53" s="3">
        <v>4.5999999999999996</v>
      </c>
      <c r="P53" s="3">
        <v>773815.14</v>
      </c>
      <c r="Q53" s="3">
        <v>133948.39000000001</v>
      </c>
    </row>
    <row r="54" spans="1:17">
      <c r="A54" s="3" t="s">
        <v>35</v>
      </c>
      <c r="B54" s="5">
        <v>45658</v>
      </c>
      <c r="C54" s="3" t="s">
        <v>18</v>
      </c>
      <c r="D54" s="3" t="s">
        <v>27</v>
      </c>
      <c r="E54" s="4">
        <f t="shared" si="0"/>
        <v>0</v>
      </c>
      <c r="F54" s="4">
        <f t="shared" si="1"/>
        <v>0</v>
      </c>
      <c r="G54" s="4">
        <f t="shared" si="2"/>
        <v>1</v>
      </c>
      <c r="H54" s="3">
        <v>53015.46</v>
      </c>
      <c r="I54" s="3">
        <v>3279</v>
      </c>
      <c r="J54" s="3">
        <v>8.6999999999999994E-2</v>
      </c>
      <c r="K54" s="3">
        <v>9</v>
      </c>
      <c r="L54" s="3">
        <v>84.3</v>
      </c>
      <c r="M54" s="3">
        <v>22.02</v>
      </c>
      <c r="N54" s="3">
        <v>0</v>
      </c>
      <c r="O54" s="3">
        <v>3.9</v>
      </c>
      <c r="P54" s="3">
        <v>463534.25</v>
      </c>
      <c r="Q54" s="3">
        <v>81834.539999999994</v>
      </c>
    </row>
    <row r="55" spans="1:17">
      <c r="A55" s="3" t="s">
        <v>35</v>
      </c>
      <c r="B55" s="5">
        <v>45689</v>
      </c>
      <c r="C55" s="3" t="s">
        <v>18</v>
      </c>
      <c r="D55" s="3" t="s">
        <v>27</v>
      </c>
      <c r="E55" s="4">
        <f t="shared" si="0"/>
        <v>0</v>
      </c>
      <c r="F55" s="4">
        <f t="shared" si="1"/>
        <v>0</v>
      </c>
      <c r="G55" s="4">
        <f t="shared" si="2"/>
        <v>1</v>
      </c>
      <c r="H55" s="3">
        <v>99874.01</v>
      </c>
      <c r="I55" s="3">
        <v>5887</v>
      </c>
      <c r="J55" s="3">
        <v>0.26200000000000001</v>
      </c>
      <c r="K55" s="3">
        <v>14</v>
      </c>
      <c r="L55" s="3">
        <v>88.7</v>
      </c>
      <c r="M55" s="3">
        <v>6.18</v>
      </c>
      <c r="N55" s="3">
        <v>0</v>
      </c>
      <c r="O55" s="3">
        <v>4.7</v>
      </c>
      <c r="P55" s="3">
        <v>746677.75</v>
      </c>
      <c r="Q55" s="3">
        <v>122437.84</v>
      </c>
    </row>
    <row r="56" spans="1:17">
      <c r="A56" s="3" t="s">
        <v>35</v>
      </c>
      <c r="B56" s="5">
        <v>45717</v>
      </c>
      <c r="C56" s="3" t="s">
        <v>18</v>
      </c>
      <c r="D56" s="3" t="s">
        <v>27</v>
      </c>
      <c r="E56" s="4">
        <f t="shared" si="0"/>
        <v>0</v>
      </c>
      <c r="F56" s="4">
        <f t="shared" si="1"/>
        <v>0</v>
      </c>
      <c r="G56" s="4">
        <f t="shared" si="2"/>
        <v>1</v>
      </c>
      <c r="H56" s="3">
        <v>81195.5</v>
      </c>
      <c r="I56" s="3">
        <v>5516</v>
      </c>
      <c r="J56" s="3">
        <v>0.106</v>
      </c>
      <c r="K56" s="3">
        <v>14</v>
      </c>
      <c r="L56" s="3">
        <v>88</v>
      </c>
      <c r="M56" s="3">
        <v>1.76</v>
      </c>
      <c r="N56" s="3">
        <v>0</v>
      </c>
      <c r="O56" s="3">
        <v>4.3</v>
      </c>
      <c r="P56" s="3">
        <v>720852.5</v>
      </c>
      <c r="Q56" s="3">
        <v>98565.62</v>
      </c>
    </row>
    <row r="57" spans="1:17">
      <c r="A57" s="3" t="s">
        <v>35</v>
      </c>
      <c r="B57" s="5">
        <v>45748</v>
      </c>
      <c r="C57" s="3" t="s">
        <v>18</v>
      </c>
      <c r="D57" s="3" t="s">
        <v>27</v>
      </c>
      <c r="E57" s="4">
        <f t="shared" si="0"/>
        <v>0</v>
      </c>
      <c r="F57" s="4">
        <f t="shared" si="1"/>
        <v>0</v>
      </c>
      <c r="G57" s="4">
        <f t="shared" si="2"/>
        <v>1</v>
      </c>
      <c r="H57" s="3">
        <v>27808.6</v>
      </c>
      <c r="I57" s="3">
        <v>2863</v>
      </c>
      <c r="J57" s="3">
        <v>0.08</v>
      </c>
      <c r="K57" s="3">
        <v>13</v>
      </c>
      <c r="L57" s="3">
        <v>89.3</v>
      </c>
      <c r="M57" s="3">
        <v>0.47</v>
      </c>
      <c r="N57" s="3">
        <v>0</v>
      </c>
      <c r="O57" s="3">
        <v>4.0999999999999996</v>
      </c>
      <c r="P57" s="3">
        <v>487464.91</v>
      </c>
      <c r="Q57" s="3">
        <v>64562.26</v>
      </c>
    </row>
    <row r="58" spans="1:17">
      <c r="A58" s="3" t="s">
        <v>36</v>
      </c>
      <c r="B58" s="5">
        <v>45658</v>
      </c>
      <c r="C58" s="3" t="s">
        <v>21</v>
      </c>
      <c r="D58" s="3" t="s">
        <v>15</v>
      </c>
      <c r="E58" s="4">
        <f t="shared" si="0"/>
        <v>0</v>
      </c>
      <c r="F58" s="4">
        <f t="shared" si="1"/>
        <v>1</v>
      </c>
      <c r="G58" s="4">
        <f t="shared" si="2"/>
        <v>0</v>
      </c>
      <c r="H58" s="3">
        <v>19365.060000000001</v>
      </c>
      <c r="I58" s="3">
        <v>2378</v>
      </c>
      <c r="J58" s="3">
        <v>0</v>
      </c>
      <c r="K58" s="3">
        <v>12</v>
      </c>
      <c r="L58" s="3">
        <v>94.8</v>
      </c>
      <c r="M58" s="3">
        <v>0.2</v>
      </c>
      <c r="N58" s="3">
        <v>0</v>
      </c>
      <c r="O58" s="3">
        <v>3.5</v>
      </c>
      <c r="P58" s="3">
        <v>518049.26</v>
      </c>
      <c r="Q58" s="3">
        <v>108592.49</v>
      </c>
    </row>
    <row r="59" spans="1:17">
      <c r="A59" s="3" t="s">
        <v>36</v>
      </c>
      <c r="B59" s="5">
        <v>45689</v>
      </c>
      <c r="C59" s="3" t="s">
        <v>21</v>
      </c>
      <c r="D59" s="3" t="s">
        <v>15</v>
      </c>
      <c r="E59" s="4">
        <f t="shared" si="0"/>
        <v>0</v>
      </c>
      <c r="F59" s="4">
        <f t="shared" si="1"/>
        <v>1</v>
      </c>
      <c r="G59" s="4">
        <f t="shared" si="2"/>
        <v>0</v>
      </c>
      <c r="H59" s="3">
        <v>59405.68</v>
      </c>
      <c r="I59" s="3">
        <v>2515</v>
      </c>
      <c r="J59" s="3">
        <v>3.9E-2</v>
      </c>
      <c r="K59" s="3">
        <v>12</v>
      </c>
      <c r="L59" s="3">
        <v>76</v>
      </c>
      <c r="M59" s="3">
        <v>5.1100000000000003</v>
      </c>
      <c r="N59" s="3">
        <v>0</v>
      </c>
      <c r="O59" s="3">
        <v>3.7</v>
      </c>
      <c r="P59" s="3">
        <v>500298.48</v>
      </c>
      <c r="Q59" s="3">
        <v>73461.320000000007</v>
      </c>
    </row>
    <row r="60" spans="1:17">
      <c r="A60" s="3" t="s">
        <v>36</v>
      </c>
      <c r="B60" s="5">
        <v>45717</v>
      </c>
      <c r="C60" s="3" t="s">
        <v>21</v>
      </c>
      <c r="D60" s="3" t="s">
        <v>15</v>
      </c>
      <c r="E60" s="4">
        <f t="shared" si="0"/>
        <v>0</v>
      </c>
      <c r="F60" s="4">
        <f t="shared" si="1"/>
        <v>1</v>
      </c>
      <c r="G60" s="4">
        <f t="shared" si="2"/>
        <v>0</v>
      </c>
      <c r="H60" s="3">
        <v>118910.48</v>
      </c>
      <c r="I60" s="3">
        <v>4022</v>
      </c>
      <c r="J60" s="3">
        <v>0.13700000000000001</v>
      </c>
      <c r="K60" s="3">
        <v>11</v>
      </c>
      <c r="L60" s="3">
        <v>87.1</v>
      </c>
      <c r="M60" s="3">
        <v>0.2</v>
      </c>
      <c r="N60" s="3">
        <v>0</v>
      </c>
      <c r="O60" s="3">
        <v>3.1</v>
      </c>
      <c r="P60" s="3">
        <v>617291.15</v>
      </c>
      <c r="Q60" s="3">
        <v>117782</v>
      </c>
    </row>
    <row r="61" spans="1:17">
      <c r="A61" s="3" t="s">
        <v>36</v>
      </c>
      <c r="B61" s="5">
        <v>45748</v>
      </c>
      <c r="C61" s="3" t="s">
        <v>21</v>
      </c>
      <c r="D61" s="3" t="s">
        <v>15</v>
      </c>
      <c r="E61" s="4">
        <f t="shared" si="0"/>
        <v>0</v>
      </c>
      <c r="F61" s="4">
        <f t="shared" si="1"/>
        <v>1</v>
      </c>
      <c r="G61" s="4">
        <f t="shared" si="2"/>
        <v>0</v>
      </c>
      <c r="H61" s="3">
        <v>52952.12</v>
      </c>
      <c r="I61" s="3">
        <v>4377</v>
      </c>
      <c r="J61" s="3">
        <v>9.1999999999999998E-2</v>
      </c>
      <c r="K61" s="3">
        <v>14</v>
      </c>
      <c r="L61" s="3">
        <v>88.6</v>
      </c>
      <c r="M61" s="3">
        <v>13.59</v>
      </c>
      <c r="N61" s="3">
        <v>0</v>
      </c>
      <c r="O61" s="3">
        <v>3.1</v>
      </c>
      <c r="P61" s="3">
        <v>553756.43000000005</v>
      </c>
      <c r="Q61" s="3">
        <v>86166.77</v>
      </c>
    </row>
    <row r="62" spans="1:17">
      <c r="A62" s="3" t="s">
        <v>37</v>
      </c>
      <c r="B62" s="5">
        <v>45658</v>
      </c>
      <c r="C62" s="3" t="s">
        <v>18</v>
      </c>
      <c r="D62" s="3" t="s">
        <v>24</v>
      </c>
      <c r="E62" s="4">
        <f t="shared" si="0"/>
        <v>1</v>
      </c>
      <c r="F62" s="4">
        <f t="shared" si="1"/>
        <v>0</v>
      </c>
      <c r="G62" s="4">
        <f t="shared" si="2"/>
        <v>0</v>
      </c>
      <c r="H62" s="3">
        <v>74907.98</v>
      </c>
      <c r="I62" s="3">
        <v>5306</v>
      </c>
      <c r="J62" s="3">
        <v>6.2E-2</v>
      </c>
      <c r="K62" s="3">
        <v>16</v>
      </c>
      <c r="L62" s="3">
        <v>95.6</v>
      </c>
      <c r="M62" s="3">
        <v>1.02</v>
      </c>
      <c r="N62" s="3">
        <v>0</v>
      </c>
      <c r="O62" s="3">
        <v>3.7</v>
      </c>
      <c r="P62" s="3">
        <v>749559.71</v>
      </c>
      <c r="Q62" s="3">
        <v>144522.53</v>
      </c>
    </row>
    <row r="63" spans="1:17">
      <c r="A63" s="3" t="s">
        <v>37</v>
      </c>
      <c r="B63" s="5">
        <v>45689</v>
      </c>
      <c r="C63" s="3" t="s">
        <v>18</v>
      </c>
      <c r="D63" s="3" t="s">
        <v>24</v>
      </c>
      <c r="E63" s="4">
        <f t="shared" si="0"/>
        <v>1</v>
      </c>
      <c r="F63" s="4">
        <f t="shared" si="1"/>
        <v>0</v>
      </c>
      <c r="G63" s="4">
        <f t="shared" si="2"/>
        <v>0</v>
      </c>
      <c r="H63" s="3">
        <v>37284.660000000003</v>
      </c>
      <c r="I63" s="3">
        <v>3928</v>
      </c>
      <c r="J63" s="3">
        <v>7.3999999999999996E-2</v>
      </c>
      <c r="K63" s="3">
        <v>12</v>
      </c>
      <c r="L63" s="3">
        <v>86.5</v>
      </c>
      <c r="M63" s="3">
        <v>1.64</v>
      </c>
      <c r="N63" s="3">
        <v>0</v>
      </c>
      <c r="O63" s="3">
        <v>3.8</v>
      </c>
      <c r="P63" s="3">
        <v>615966.48</v>
      </c>
      <c r="Q63" s="3">
        <v>91509.38</v>
      </c>
    </row>
    <row r="64" spans="1:17">
      <c r="A64" s="3" t="s">
        <v>37</v>
      </c>
      <c r="B64" s="5">
        <v>45717</v>
      </c>
      <c r="C64" s="3" t="s">
        <v>18</v>
      </c>
      <c r="D64" s="3" t="s">
        <v>24</v>
      </c>
      <c r="E64" s="4">
        <f t="shared" si="0"/>
        <v>1</v>
      </c>
      <c r="F64" s="4">
        <f t="shared" si="1"/>
        <v>0</v>
      </c>
      <c r="G64" s="4">
        <f t="shared" si="2"/>
        <v>0</v>
      </c>
      <c r="H64" s="3">
        <v>50343.19</v>
      </c>
      <c r="I64" s="3">
        <v>3845</v>
      </c>
      <c r="J64" s="3">
        <v>0.113</v>
      </c>
      <c r="K64" s="3">
        <v>9</v>
      </c>
      <c r="L64" s="3">
        <v>88.7</v>
      </c>
      <c r="M64" s="3">
        <v>5.15</v>
      </c>
      <c r="N64" s="3">
        <v>0</v>
      </c>
      <c r="O64" s="3">
        <v>3.3</v>
      </c>
      <c r="P64" s="3">
        <v>572011.19999999995</v>
      </c>
      <c r="Q64" s="3">
        <v>101409.68</v>
      </c>
    </row>
    <row r="65" spans="1:17">
      <c r="A65" s="3" t="s">
        <v>37</v>
      </c>
      <c r="B65" s="5">
        <v>45748</v>
      </c>
      <c r="C65" s="3" t="s">
        <v>18</v>
      </c>
      <c r="D65" s="3" t="s">
        <v>24</v>
      </c>
      <c r="E65" s="4">
        <f t="shared" si="0"/>
        <v>1</v>
      </c>
      <c r="F65" s="4">
        <f t="shared" si="1"/>
        <v>0</v>
      </c>
      <c r="G65" s="4">
        <f t="shared" si="2"/>
        <v>0</v>
      </c>
      <c r="H65" s="3">
        <v>74954.47</v>
      </c>
      <c r="I65" s="3">
        <v>6620</v>
      </c>
      <c r="J65" s="3">
        <v>5.3999999999999999E-2</v>
      </c>
      <c r="K65" s="3">
        <v>17</v>
      </c>
      <c r="L65" s="3">
        <v>91.1</v>
      </c>
      <c r="M65" s="3">
        <v>1.1100000000000001</v>
      </c>
      <c r="N65" s="3">
        <v>0</v>
      </c>
      <c r="O65" s="3">
        <v>3.5</v>
      </c>
      <c r="P65" s="3">
        <v>761860.19</v>
      </c>
      <c r="Q65" s="3">
        <v>133279.38</v>
      </c>
    </row>
    <row r="66" spans="1:17">
      <c r="A66" s="3" t="s">
        <v>38</v>
      </c>
      <c r="B66" s="5">
        <v>45658</v>
      </c>
      <c r="C66" s="3" t="s">
        <v>18</v>
      </c>
      <c r="D66" s="3" t="s">
        <v>27</v>
      </c>
      <c r="E66" s="4">
        <f t="shared" si="0"/>
        <v>0</v>
      </c>
      <c r="F66" s="4">
        <f t="shared" si="1"/>
        <v>0</v>
      </c>
      <c r="G66" s="4">
        <f t="shared" si="2"/>
        <v>1</v>
      </c>
      <c r="H66" s="3">
        <v>70040.31</v>
      </c>
      <c r="I66" s="3">
        <v>9175</v>
      </c>
      <c r="J66" s="3">
        <v>0.107</v>
      </c>
      <c r="K66" s="3">
        <v>23</v>
      </c>
      <c r="L66" s="3">
        <v>95.1</v>
      </c>
      <c r="M66" s="3">
        <v>6.08</v>
      </c>
      <c r="N66" s="3">
        <v>1</v>
      </c>
      <c r="O66" s="3">
        <v>3.4</v>
      </c>
      <c r="P66" s="3">
        <v>784502.68</v>
      </c>
      <c r="Q66" s="3">
        <v>129519.72</v>
      </c>
    </row>
    <row r="67" spans="1:17">
      <c r="A67" s="3" t="s">
        <v>38</v>
      </c>
      <c r="B67" s="5">
        <v>45689</v>
      </c>
      <c r="C67" s="3" t="s">
        <v>18</v>
      </c>
      <c r="D67" s="3" t="s">
        <v>27</v>
      </c>
      <c r="E67" s="4">
        <f t="shared" ref="E67:E130" si="3">IF(D67="South",1,0)</f>
        <v>0</v>
      </c>
      <c r="F67" s="4">
        <f t="shared" ref="F67:F130" si="4">IF(D67="East",1,0)</f>
        <v>0</v>
      </c>
      <c r="G67" s="4">
        <f t="shared" ref="G67:G130" si="5">IF(D67="West",1,0)</f>
        <v>1</v>
      </c>
      <c r="H67" s="3">
        <v>51148.69</v>
      </c>
      <c r="I67" s="3">
        <v>7940</v>
      </c>
      <c r="J67" s="3">
        <v>0.156</v>
      </c>
      <c r="K67" s="3">
        <v>18</v>
      </c>
      <c r="L67" s="3">
        <v>93.3</v>
      </c>
      <c r="M67" s="3">
        <v>10.91</v>
      </c>
      <c r="N67" s="3">
        <v>0</v>
      </c>
      <c r="O67" s="3">
        <v>3.6</v>
      </c>
      <c r="P67" s="3">
        <v>717141.55</v>
      </c>
      <c r="Q67" s="3">
        <v>134013.60999999999</v>
      </c>
    </row>
    <row r="68" spans="1:17">
      <c r="A68" s="3" t="s">
        <v>38</v>
      </c>
      <c r="B68" s="5">
        <v>45717</v>
      </c>
      <c r="C68" s="3" t="s">
        <v>18</v>
      </c>
      <c r="D68" s="3" t="s">
        <v>27</v>
      </c>
      <c r="E68" s="4">
        <f t="shared" si="3"/>
        <v>0</v>
      </c>
      <c r="F68" s="4">
        <f t="shared" si="4"/>
        <v>0</v>
      </c>
      <c r="G68" s="4">
        <f t="shared" si="5"/>
        <v>1</v>
      </c>
      <c r="H68" s="3">
        <v>79346.100000000006</v>
      </c>
      <c r="I68" s="3">
        <v>9628</v>
      </c>
      <c r="J68" s="3">
        <v>0.10199999999999999</v>
      </c>
      <c r="K68" s="3">
        <v>20</v>
      </c>
      <c r="L68" s="3">
        <v>99</v>
      </c>
      <c r="M68" s="3">
        <v>19.010000000000002</v>
      </c>
      <c r="N68" s="3">
        <v>1</v>
      </c>
      <c r="O68" s="3">
        <v>3.2</v>
      </c>
      <c r="P68" s="3">
        <v>685379.08</v>
      </c>
      <c r="Q68" s="3">
        <v>106898.82</v>
      </c>
    </row>
    <row r="69" spans="1:17">
      <c r="A69" s="3" t="s">
        <v>38</v>
      </c>
      <c r="B69" s="5">
        <v>45748</v>
      </c>
      <c r="C69" s="3" t="s">
        <v>18</v>
      </c>
      <c r="D69" s="3" t="s">
        <v>27</v>
      </c>
      <c r="E69" s="4">
        <f t="shared" si="3"/>
        <v>0</v>
      </c>
      <c r="F69" s="4">
        <f t="shared" si="4"/>
        <v>0</v>
      </c>
      <c r="G69" s="4">
        <f t="shared" si="5"/>
        <v>1</v>
      </c>
      <c r="H69" s="3">
        <v>42018.400000000001</v>
      </c>
      <c r="I69" s="3">
        <v>8296</v>
      </c>
      <c r="J69" s="3">
        <v>0.115</v>
      </c>
      <c r="K69" s="3">
        <v>17</v>
      </c>
      <c r="L69" s="3">
        <v>91.8</v>
      </c>
      <c r="M69" s="3">
        <v>0.77</v>
      </c>
      <c r="N69" s="3">
        <v>0</v>
      </c>
      <c r="O69" s="3">
        <v>3.4</v>
      </c>
      <c r="P69" s="3">
        <v>740496.65</v>
      </c>
      <c r="Q69" s="3">
        <v>128020.9</v>
      </c>
    </row>
    <row r="70" spans="1:17">
      <c r="A70" s="3" t="s">
        <v>39</v>
      </c>
      <c r="B70" s="5">
        <v>45658</v>
      </c>
      <c r="C70" s="3" t="s">
        <v>18</v>
      </c>
      <c r="D70" s="3" t="s">
        <v>15</v>
      </c>
      <c r="E70" s="4">
        <f t="shared" si="3"/>
        <v>0</v>
      </c>
      <c r="F70" s="4">
        <f t="shared" si="4"/>
        <v>1</v>
      </c>
      <c r="G70" s="4">
        <f t="shared" si="5"/>
        <v>0</v>
      </c>
      <c r="H70" s="3">
        <v>70937.240000000005</v>
      </c>
      <c r="I70" s="3">
        <v>3595</v>
      </c>
      <c r="J70" s="3">
        <v>0.14099999999999999</v>
      </c>
      <c r="K70" s="3">
        <v>11</v>
      </c>
      <c r="L70" s="3">
        <v>88.9</v>
      </c>
      <c r="M70" s="3">
        <v>2.83</v>
      </c>
      <c r="N70" s="3">
        <v>1</v>
      </c>
      <c r="O70" s="3">
        <v>3.3</v>
      </c>
      <c r="P70" s="3">
        <v>661927.14</v>
      </c>
      <c r="Q70" s="3">
        <v>79218.570000000007</v>
      </c>
    </row>
    <row r="71" spans="1:17">
      <c r="A71" s="3" t="s">
        <v>39</v>
      </c>
      <c r="B71" s="5">
        <v>45689</v>
      </c>
      <c r="C71" s="3" t="s">
        <v>18</v>
      </c>
      <c r="D71" s="3" t="s">
        <v>15</v>
      </c>
      <c r="E71" s="4">
        <f t="shared" si="3"/>
        <v>0</v>
      </c>
      <c r="F71" s="4">
        <f t="shared" si="4"/>
        <v>1</v>
      </c>
      <c r="G71" s="4">
        <f t="shared" si="5"/>
        <v>0</v>
      </c>
      <c r="H71" s="3">
        <v>36813.449999999997</v>
      </c>
      <c r="I71" s="3">
        <v>2834</v>
      </c>
      <c r="J71" s="3">
        <v>0.191</v>
      </c>
      <c r="K71" s="3">
        <v>11</v>
      </c>
      <c r="L71" s="3">
        <v>81.8</v>
      </c>
      <c r="M71" s="3">
        <v>2.33</v>
      </c>
      <c r="N71" s="3">
        <v>0</v>
      </c>
      <c r="O71" s="3">
        <v>3.3</v>
      </c>
      <c r="P71" s="3">
        <v>479050.5</v>
      </c>
      <c r="Q71" s="3">
        <v>53651.11</v>
      </c>
    </row>
    <row r="72" spans="1:17">
      <c r="A72" s="3" t="s">
        <v>39</v>
      </c>
      <c r="B72" s="5">
        <v>45717</v>
      </c>
      <c r="C72" s="3" t="s">
        <v>18</v>
      </c>
      <c r="D72" s="3" t="s">
        <v>15</v>
      </c>
      <c r="E72" s="4">
        <f t="shared" si="3"/>
        <v>0</v>
      </c>
      <c r="F72" s="4">
        <f t="shared" si="4"/>
        <v>1</v>
      </c>
      <c r="G72" s="4">
        <f t="shared" si="5"/>
        <v>0</v>
      </c>
      <c r="H72" s="3">
        <v>60571.82</v>
      </c>
      <c r="I72" s="3">
        <v>3193</v>
      </c>
      <c r="J72" s="3">
        <v>0.19700000000000001</v>
      </c>
      <c r="K72" s="3">
        <v>7</v>
      </c>
      <c r="L72" s="3">
        <v>99</v>
      </c>
      <c r="M72" s="3">
        <v>1.43</v>
      </c>
      <c r="N72" s="3">
        <v>0</v>
      </c>
      <c r="O72" s="3">
        <v>3.2</v>
      </c>
      <c r="P72" s="3">
        <v>605023.87</v>
      </c>
      <c r="Q72" s="3">
        <v>98545.81</v>
      </c>
    </row>
    <row r="73" spans="1:17">
      <c r="A73" s="3" t="s">
        <v>39</v>
      </c>
      <c r="B73" s="5">
        <v>45748</v>
      </c>
      <c r="C73" s="3" t="s">
        <v>18</v>
      </c>
      <c r="D73" s="3" t="s">
        <v>15</v>
      </c>
      <c r="E73" s="4">
        <f t="shared" si="3"/>
        <v>0</v>
      </c>
      <c r="F73" s="4">
        <f t="shared" si="4"/>
        <v>1</v>
      </c>
      <c r="G73" s="4">
        <f t="shared" si="5"/>
        <v>0</v>
      </c>
      <c r="H73" s="3">
        <v>55081.16</v>
      </c>
      <c r="I73" s="3">
        <v>5485</v>
      </c>
      <c r="J73" s="3">
        <v>3.5999999999999997E-2</v>
      </c>
      <c r="K73" s="3">
        <v>12</v>
      </c>
      <c r="L73" s="3">
        <v>88</v>
      </c>
      <c r="M73" s="4">
        <v>0</v>
      </c>
      <c r="N73" s="3">
        <v>0</v>
      </c>
      <c r="O73" s="3">
        <v>3.5</v>
      </c>
      <c r="P73" s="3">
        <v>674774.09</v>
      </c>
      <c r="Q73" s="3">
        <v>141917.59</v>
      </c>
    </row>
    <row r="74" spans="1:17">
      <c r="A74" s="3" t="s">
        <v>40</v>
      </c>
      <c r="B74" s="5">
        <v>45658</v>
      </c>
      <c r="C74" s="3" t="s">
        <v>16</v>
      </c>
      <c r="D74" s="3" t="s">
        <v>15</v>
      </c>
      <c r="E74" s="4">
        <f t="shared" si="3"/>
        <v>0</v>
      </c>
      <c r="F74" s="4">
        <f t="shared" si="4"/>
        <v>1</v>
      </c>
      <c r="G74" s="4">
        <f t="shared" si="5"/>
        <v>0</v>
      </c>
      <c r="H74" s="3">
        <v>46201.46</v>
      </c>
      <c r="I74" s="3">
        <v>5918</v>
      </c>
      <c r="J74" s="3">
        <v>0.27700000000000002</v>
      </c>
      <c r="K74" s="3">
        <v>13</v>
      </c>
      <c r="L74" s="3">
        <v>78.8</v>
      </c>
      <c r="M74" s="3">
        <v>4.91</v>
      </c>
      <c r="N74" s="3">
        <v>0</v>
      </c>
      <c r="O74" s="3">
        <v>4.5</v>
      </c>
      <c r="P74" s="3">
        <v>616069.41</v>
      </c>
      <c r="Q74" s="3">
        <v>54453.99</v>
      </c>
    </row>
    <row r="75" spans="1:17">
      <c r="A75" s="3" t="s">
        <v>40</v>
      </c>
      <c r="B75" s="5">
        <v>45689</v>
      </c>
      <c r="C75" s="3" t="s">
        <v>16</v>
      </c>
      <c r="D75" s="3" t="s">
        <v>15</v>
      </c>
      <c r="E75" s="4">
        <f t="shared" si="3"/>
        <v>0</v>
      </c>
      <c r="F75" s="4">
        <f t="shared" si="4"/>
        <v>1</v>
      </c>
      <c r="G75" s="4">
        <f t="shared" si="5"/>
        <v>0</v>
      </c>
      <c r="H75" s="3">
        <v>53762.92</v>
      </c>
      <c r="I75" s="3">
        <v>6821</v>
      </c>
      <c r="J75" s="3">
        <v>6.6000000000000003E-2</v>
      </c>
      <c r="K75" s="3">
        <v>19</v>
      </c>
      <c r="L75" s="3">
        <v>94.6</v>
      </c>
      <c r="M75" s="3">
        <v>7.03</v>
      </c>
      <c r="N75" s="3">
        <v>0</v>
      </c>
      <c r="O75" s="3">
        <v>4.4000000000000004</v>
      </c>
      <c r="P75" s="3">
        <v>630829.93999999994</v>
      </c>
      <c r="Q75" s="3">
        <v>117090.02</v>
      </c>
    </row>
    <row r="76" spans="1:17">
      <c r="A76" s="3" t="s">
        <v>40</v>
      </c>
      <c r="B76" s="5">
        <v>45717</v>
      </c>
      <c r="C76" s="3" t="s">
        <v>16</v>
      </c>
      <c r="D76" s="3" t="s">
        <v>15</v>
      </c>
      <c r="E76" s="4">
        <f t="shared" si="3"/>
        <v>0</v>
      </c>
      <c r="F76" s="4">
        <f t="shared" si="4"/>
        <v>1</v>
      </c>
      <c r="G76" s="4">
        <f t="shared" si="5"/>
        <v>0</v>
      </c>
      <c r="H76" s="3">
        <v>70144.78</v>
      </c>
      <c r="I76" s="3">
        <v>6806</v>
      </c>
      <c r="J76" s="3">
        <v>0.17799999999999999</v>
      </c>
      <c r="K76" s="3">
        <v>20</v>
      </c>
      <c r="L76" s="3">
        <v>93.1</v>
      </c>
      <c r="M76" s="3">
        <v>0.28000000000000003</v>
      </c>
      <c r="N76" s="3">
        <v>1</v>
      </c>
      <c r="O76" s="3">
        <v>4.3</v>
      </c>
      <c r="P76" s="3">
        <v>788087.68</v>
      </c>
      <c r="Q76" s="3">
        <v>116803.42</v>
      </c>
    </row>
    <row r="77" spans="1:17">
      <c r="A77" s="3" t="s">
        <v>40</v>
      </c>
      <c r="B77" s="5">
        <v>45748</v>
      </c>
      <c r="C77" s="3" t="s">
        <v>16</v>
      </c>
      <c r="D77" s="3" t="s">
        <v>15</v>
      </c>
      <c r="E77" s="4">
        <f t="shared" si="3"/>
        <v>0</v>
      </c>
      <c r="F77" s="4">
        <f t="shared" si="4"/>
        <v>1</v>
      </c>
      <c r="G77" s="4">
        <f t="shared" si="5"/>
        <v>0</v>
      </c>
      <c r="H77" s="3">
        <v>58749.63</v>
      </c>
      <c r="I77" s="3">
        <v>8252</v>
      </c>
      <c r="J77" s="3">
        <v>0.20300000000000001</v>
      </c>
      <c r="K77" s="3">
        <v>20</v>
      </c>
      <c r="L77" s="3">
        <v>85.2</v>
      </c>
      <c r="M77" s="3">
        <v>3.61</v>
      </c>
      <c r="N77" s="3">
        <v>0</v>
      </c>
      <c r="O77" s="3">
        <v>4.5</v>
      </c>
      <c r="P77" s="3">
        <v>680840.36</v>
      </c>
      <c r="Q77" s="3">
        <v>68007.679999999993</v>
      </c>
    </row>
    <row r="78" spans="1:17">
      <c r="A78" s="3" t="s">
        <v>41</v>
      </c>
      <c r="B78" s="5">
        <v>45658</v>
      </c>
      <c r="C78" s="3" t="s">
        <v>18</v>
      </c>
      <c r="D78" s="3" t="s">
        <v>24</v>
      </c>
      <c r="E78" s="4">
        <f t="shared" si="3"/>
        <v>1</v>
      </c>
      <c r="F78" s="4">
        <f t="shared" si="4"/>
        <v>0</v>
      </c>
      <c r="G78" s="4">
        <f t="shared" si="5"/>
        <v>0</v>
      </c>
      <c r="H78" s="3">
        <v>56973.18</v>
      </c>
      <c r="I78" s="3">
        <v>6662</v>
      </c>
      <c r="J78" s="3">
        <v>0.1</v>
      </c>
      <c r="K78" s="3">
        <v>15</v>
      </c>
      <c r="L78" s="3">
        <v>77.7</v>
      </c>
      <c r="M78" s="3">
        <v>7.52</v>
      </c>
      <c r="N78" s="3">
        <v>1</v>
      </c>
      <c r="O78" s="3">
        <v>3.2</v>
      </c>
      <c r="P78" s="3">
        <v>643657.47</v>
      </c>
      <c r="Q78" s="3">
        <v>87022.45</v>
      </c>
    </row>
    <row r="79" spans="1:17">
      <c r="A79" s="3" t="s">
        <v>41</v>
      </c>
      <c r="B79" s="5">
        <v>45689</v>
      </c>
      <c r="C79" s="3" t="s">
        <v>18</v>
      </c>
      <c r="D79" s="3" t="s">
        <v>24</v>
      </c>
      <c r="E79" s="4">
        <f t="shared" si="3"/>
        <v>1</v>
      </c>
      <c r="F79" s="4">
        <f t="shared" si="4"/>
        <v>0</v>
      </c>
      <c r="G79" s="4">
        <f t="shared" si="5"/>
        <v>0</v>
      </c>
      <c r="H79" s="3">
        <v>54872.82</v>
      </c>
      <c r="I79" s="3">
        <v>5962</v>
      </c>
      <c r="J79" s="3">
        <v>6.4000000000000001E-2</v>
      </c>
      <c r="K79" s="3">
        <v>12</v>
      </c>
      <c r="L79" s="3">
        <v>85.4</v>
      </c>
      <c r="M79" s="3">
        <v>2.58</v>
      </c>
      <c r="N79" s="3">
        <v>0</v>
      </c>
      <c r="O79" s="3">
        <v>2.9</v>
      </c>
      <c r="P79" s="3">
        <v>691112.6</v>
      </c>
      <c r="Q79" s="3">
        <v>109212.83</v>
      </c>
    </row>
    <row r="80" spans="1:17">
      <c r="A80" s="3" t="s">
        <v>41</v>
      </c>
      <c r="B80" s="5">
        <v>45717</v>
      </c>
      <c r="C80" s="3" t="s">
        <v>18</v>
      </c>
      <c r="D80" s="3" t="s">
        <v>24</v>
      </c>
      <c r="E80" s="4">
        <f t="shared" si="3"/>
        <v>1</v>
      </c>
      <c r="F80" s="4">
        <f t="shared" si="4"/>
        <v>0</v>
      </c>
      <c r="G80" s="4">
        <f t="shared" si="5"/>
        <v>0</v>
      </c>
      <c r="H80" s="3">
        <v>80562.81</v>
      </c>
      <c r="I80" s="3">
        <v>7470</v>
      </c>
      <c r="J80" s="3">
        <v>0.17199999999999999</v>
      </c>
      <c r="K80" s="3">
        <v>16</v>
      </c>
      <c r="L80" s="3">
        <v>83.5</v>
      </c>
      <c r="M80" s="3">
        <v>2.29</v>
      </c>
      <c r="N80" s="3">
        <v>0</v>
      </c>
      <c r="O80" s="3">
        <v>3.3</v>
      </c>
      <c r="P80" s="3">
        <v>776922.17</v>
      </c>
      <c r="Q80" s="3">
        <v>150701.93</v>
      </c>
    </row>
    <row r="81" spans="1:17">
      <c r="A81" s="3" t="s">
        <v>41</v>
      </c>
      <c r="B81" s="5">
        <v>45748</v>
      </c>
      <c r="C81" s="3" t="s">
        <v>18</v>
      </c>
      <c r="D81" s="3" t="s">
        <v>24</v>
      </c>
      <c r="E81" s="4">
        <f t="shared" si="3"/>
        <v>1</v>
      </c>
      <c r="F81" s="4">
        <f t="shared" si="4"/>
        <v>0</v>
      </c>
      <c r="G81" s="4">
        <f t="shared" si="5"/>
        <v>0</v>
      </c>
      <c r="H81" s="3">
        <v>77999.899999999994</v>
      </c>
      <c r="I81" s="3">
        <v>5974</v>
      </c>
      <c r="J81" s="3">
        <v>0.252</v>
      </c>
      <c r="K81" s="3">
        <v>14</v>
      </c>
      <c r="L81" s="3">
        <v>81.3</v>
      </c>
      <c r="M81" s="3">
        <v>2.39</v>
      </c>
      <c r="N81" s="3">
        <v>0</v>
      </c>
      <c r="O81" s="3">
        <v>3.2</v>
      </c>
      <c r="P81" s="3">
        <v>636561.34</v>
      </c>
      <c r="Q81" s="3">
        <v>93861.06</v>
      </c>
    </row>
    <row r="82" spans="1:17">
      <c r="A82" s="3" t="s">
        <v>42</v>
      </c>
      <c r="B82" s="5">
        <v>45658</v>
      </c>
      <c r="C82" s="3" t="s">
        <v>28</v>
      </c>
      <c r="D82" s="3" t="s">
        <v>27</v>
      </c>
      <c r="E82" s="4">
        <f t="shared" si="3"/>
        <v>0</v>
      </c>
      <c r="F82" s="4">
        <f t="shared" si="4"/>
        <v>0</v>
      </c>
      <c r="G82" s="4">
        <f t="shared" si="5"/>
        <v>1</v>
      </c>
      <c r="H82" s="3">
        <v>60881.01</v>
      </c>
      <c r="I82" s="3">
        <v>5410</v>
      </c>
      <c r="J82" s="3">
        <v>0.17899999999999999</v>
      </c>
      <c r="K82" s="3">
        <v>15</v>
      </c>
      <c r="L82" s="3">
        <v>83.9</v>
      </c>
      <c r="M82" s="3">
        <v>5.24</v>
      </c>
      <c r="N82" s="3">
        <v>0</v>
      </c>
      <c r="O82" s="3">
        <v>4.5999999999999996</v>
      </c>
      <c r="P82" s="3">
        <v>621369.57999999996</v>
      </c>
      <c r="Q82" s="3">
        <v>85493.64</v>
      </c>
    </row>
    <row r="83" spans="1:17">
      <c r="A83" s="3" t="s">
        <v>42</v>
      </c>
      <c r="B83" s="5">
        <v>45689</v>
      </c>
      <c r="C83" s="3" t="s">
        <v>28</v>
      </c>
      <c r="D83" s="3" t="s">
        <v>27</v>
      </c>
      <c r="E83" s="4">
        <f t="shared" si="3"/>
        <v>0</v>
      </c>
      <c r="F83" s="4">
        <f t="shared" si="4"/>
        <v>0</v>
      </c>
      <c r="G83" s="4">
        <f t="shared" si="5"/>
        <v>1</v>
      </c>
      <c r="H83" s="3">
        <v>60628.38</v>
      </c>
      <c r="I83" s="3">
        <v>4451</v>
      </c>
      <c r="J83" s="3">
        <v>9.5000000000000001E-2</v>
      </c>
      <c r="K83" s="3">
        <v>10</v>
      </c>
      <c r="L83" s="3">
        <v>89.6</v>
      </c>
      <c r="M83" s="3">
        <v>3.17</v>
      </c>
      <c r="N83" s="3">
        <v>0</v>
      </c>
      <c r="O83" s="3">
        <v>4.5999999999999996</v>
      </c>
      <c r="P83" s="3">
        <v>682208.01</v>
      </c>
      <c r="Q83" s="3">
        <v>110318.84</v>
      </c>
    </row>
    <row r="84" spans="1:17">
      <c r="A84" s="3" t="s">
        <v>42</v>
      </c>
      <c r="B84" s="5">
        <v>45717</v>
      </c>
      <c r="C84" s="3" t="s">
        <v>28</v>
      </c>
      <c r="D84" s="3" t="s">
        <v>27</v>
      </c>
      <c r="E84" s="4">
        <f t="shared" si="3"/>
        <v>0</v>
      </c>
      <c r="F84" s="4">
        <f t="shared" si="4"/>
        <v>0</v>
      </c>
      <c r="G84" s="4">
        <f t="shared" si="5"/>
        <v>1</v>
      </c>
      <c r="H84" s="3">
        <v>72731.14</v>
      </c>
      <c r="I84" s="3">
        <v>4644</v>
      </c>
      <c r="J84" s="3">
        <v>8.4000000000000005E-2</v>
      </c>
      <c r="K84" s="3">
        <v>15</v>
      </c>
      <c r="L84" s="3">
        <v>87.1</v>
      </c>
      <c r="M84" s="3">
        <v>2.66</v>
      </c>
      <c r="N84" s="3">
        <v>0</v>
      </c>
      <c r="O84" s="3">
        <v>4.5999999999999996</v>
      </c>
      <c r="P84" s="3">
        <v>727241.86</v>
      </c>
      <c r="Q84" s="3">
        <v>155810.29999999999</v>
      </c>
    </row>
    <row r="85" spans="1:17">
      <c r="A85" s="3" t="s">
        <v>42</v>
      </c>
      <c r="B85" s="5">
        <v>45748</v>
      </c>
      <c r="C85" s="3" t="s">
        <v>28</v>
      </c>
      <c r="D85" s="3" t="s">
        <v>27</v>
      </c>
      <c r="E85" s="4">
        <f t="shared" si="3"/>
        <v>0</v>
      </c>
      <c r="F85" s="4">
        <f t="shared" si="4"/>
        <v>0</v>
      </c>
      <c r="G85" s="4">
        <f t="shared" si="5"/>
        <v>1</v>
      </c>
      <c r="H85" s="3">
        <v>36475.71</v>
      </c>
      <c r="I85" s="3">
        <v>3559</v>
      </c>
      <c r="J85" s="3">
        <v>0.03</v>
      </c>
      <c r="K85" s="3">
        <v>8</v>
      </c>
      <c r="L85" s="3">
        <v>83.6</v>
      </c>
      <c r="M85" s="3">
        <v>1.41</v>
      </c>
      <c r="N85" s="3">
        <v>0</v>
      </c>
      <c r="O85" s="3">
        <v>4.2</v>
      </c>
      <c r="P85" s="3">
        <v>569100.78</v>
      </c>
      <c r="Q85" s="3">
        <v>104808.78</v>
      </c>
    </row>
    <row r="86" spans="1:17">
      <c r="A86" s="3" t="s">
        <v>43</v>
      </c>
      <c r="B86" s="5">
        <v>45658</v>
      </c>
      <c r="C86" s="3" t="s">
        <v>18</v>
      </c>
      <c r="D86" s="3" t="s">
        <v>27</v>
      </c>
      <c r="E86" s="4">
        <f t="shared" si="3"/>
        <v>0</v>
      </c>
      <c r="F86" s="4">
        <f t="shared" si="4"/>
        <v>0</v>
      </c>
      <c r="G86" s="4">
        <f t="shared" si="5"/>
        <v>1</v>
      </c>
      <c r="H86" s="3">
        <v>55388.11</v>
      </c>
      <c r="I86" s="3">
        <v>3091</v>
      </c>
      <c r="J86" s="3">
        <v>0.108</v>
      </c>
      <c r="K86" s="3">
        <v>7</v>
      </c>
      <c r="L86" s="3">
        <v>85.4</v>
      </c>
      <c r="M86" s="3">
        <v>7.34</v>
      </c>
      <c r="N86" s="3">
        <v>0</v>
      </c>
      <c r="O86" s="3">
        <v>4.9000000000000004</v>
      </c>
      <c r="P86" s="3">
        <v>574436.29</v>
      </c>
      <c r="Q86" s="3">
        <v>80271.990000000005</v>
      </c>
    </row>
    <row r="87" spans="1:17">
      <c r="A87" s="3" t="s">
        <v>43</v>
      </c>
      <c r="B87" s="5">
        <v>45689</v>
      </c>
      <c r="C87" s="3" t="s">
        <v>18</v>
      </c>
      <c r="D87" s="3" t="s">
        <v>27</v>
      </c>
      <c r="E87" s="4">
        <f t="shared" si="3"/>
        <v>0</v>
      </c>
      <c r="F87" s="4">
        <f t="shared" si="4"/>
        <v>0</v>
      </c>
      <c r="G87" s="4">
        <f t="shared" si="5"/>
        <v>1</v>
      </c>
      <c r="H87" s="3">
        <v>88443.77</v>
      </c>
      <c r="I87" s="3">
        <v>4004</v>
      </c>
      <c r="J87" s="3">
        <v>0.20599999999999999</v>
      </c>
      <c r="K87" s="3">
        <v>11</v>
      </c>
      <c r="L87" s="3">
        <v>91.9</v>
      </c>
      <c r="M87" s="3">
        <v>5.95</v>
      </c>
      <c r="N87" s="3">
        <v>0</v>
      </c>
      <c r="O87" s="4">
        <v>0</v>
      </c>
      <c r="P87" s="3">
        <v>611766.72</v>
      </c>
      <c r="Q87" s="3">
        <v>88275.61</v>
      </c>
    </row>
    <row r="88" spans="1:17">
      <c r="A88" s="3" t="s">
        <v>43</v>
      </c>
      <c r="B88" s="5">
        <v>45717</v>
      </c>
      <c r="C88" s="3" t="s">
        <v>18</v>
      </c>
      <c r="D88" s="3" t="s">
        <v>27</v>
      </c>
      <c r="E88" s="4">
        <f t="shared" si="3"/>
        <v>0</v>
      </c>
      <c r="F88" s="4">
        <f t="shared" si="4"/>
        <v>0</v>
      </c>
      <c r="G88" s="4">
        <f t="shared" si="5"/>
        <v>1</v>
      </c>
      <c r="H88" s="3">
        <v>78231.91</v>
      </c>
      <c r="I88" s="3">
        <v>3788</v>
      </c>
      <c r="J88" s="3">
        <v>5.8999999999999997E-2</v>
      </c>
      <c r="K88" s="3">
        <v>11</v>
      </c>
      <c r="L88" s="3">
        <v>88.5</v>
      </c>
      <c r="M88" s="3">
        <v>15.51</v>
      </c>
      <c r="N88" s="3">
        <v>0</v>
      </c>
      <c r="O88" s="3">
        <v>4.3</v>
      </c>
      <c r="P88" s="3">
        <v>614596.31999999995</v>
      </c>
      <c r="Q88" s="3">
        <v>131199.41</v>
      </c>
    </row>
    <row r="89" spans="1:17">
      <c r="A89" s="3" t="s">
        <v>43</v>
      </c>
      <c r="B89" s="5">
        <v>45748</v>
      </c>
      <c r="C89" s="3" t="s">
        <v>18</v>
      </c>
      <c r="D89" s="3" t="s">
        <v>27</v>
      </c>
      <c r="E89" s="4">
        <f t="shared" si="3"/>
        <v>0</v>
      </c>
      <c r="F89" s="4">
        <f t="shared" si="4"/>
        <v>0</v>
      </c>
      <c r="G89" s="4">
        <f t="shared" si="5"/>
        <v>1</v>
      </c>
      <c r="H89" s="3">
        <v>18996.32</v>
      </c>
      <c r="I89" s="3">
        <v>1260</v>
      </c>
      <c r="J89" s="3">
        <v>0.14499999999999999</v>
      </c>
      <c r="K89" s="3">
        <v>9</v>
      </c>
      <c r="L89" s="3">
        <v>86.4</v>
      </c>
      <c r="M89" s="3">
        <v>4.3099999999999996</v>
      </c>
      <c r="N89" s="3">
        <v>0</v>
      </c>
      <c r="O89" s="3">
        <v>4.5999999999999996</v>
      </c>
      <c r="P89" s="3">
        <v>450711.92</v>
      </c>
      <c r="Q89" s="3">
        <v>90043.76</v>
      </c>
    </row>
    <row r="90" spans="1:17">
      <c r="A90" s="3" t="s">
        <v>44</v>
      </c>
      <c r="B90" s="5">
        <v>45658</v>
      </c>
      <c r="C90" s="3" t="s">
        <v>28</v>
      </c>
      <c r="D90" s="3" t="s">
        <v>24</v>
      </c>
      <c r="E90" s="4">
        <f t="shared" si="3"/>
        <v>1</v>
      </c>
      <c r="F90" s="4">
        <f t="shared" si="4"/>
        <v>0</v>
      </c>
      <c r="G90" s="4">
        <f t="shared" si="5"/>
        <v>0</v>
      </c>
      <c r="H90" s="3">
        <v>50517.94</v>
      </c>
      <c r="I90" s="3">
        <v>7024</v>
      </c>
      <c r="J90" s="3">
        <v>2.9000000000000001E-2</v>
      </c>
      <c r="K90" s="3">
        <v>18</v>
      </c>
      <c r="L90" s="3">
        <v>79.2</v>
      </c>
      <c r="M90" s="3">
        <v>6.61</v>
      </c>
      <c r="N90" s="3">
        <v>1</v>
      </c>
      <c r="O90" s="3">
        <v>4.0999999999999996</v>
      </c>
      <c r="P90" s="3">
        <v>711213.46</v>
      </c>
      <c r="Q90" s="3">
        <v>105863.26</v>
      </c>
    </row>
    <row r="91" spans="1:17">
      <c r="A91" s="3" t="s">
        <v>44</v>
      </c>
      <c r="B91" s="5">
        <v>45689</v>
      </c>
      <c r="C91" s="3" t="s">
        <v>28</v>
      </c>
      <c r="D91" s="3" t="s">
        <v>24</v>
      </c>
      <c r="E91" s="4">
        <f t="shared" si="3"/>
        <v>1</v>
      </c>
      <c r="F91" s="4">
        <f t="shared" si="4"/>
        <v>0</v>
      </c>
      <c r="G91" s="4">
        <f t="shared" si="5"/>
        <v>0</v>
      </c>
      <c r="H91" s="3">
        <v>141540.29</v>
      </c>
      <c r="I91" s="3">
        <v>5400</v>
      </c>
      <c r="J91" s="3">
        <v>1.2999999999999999E-2</v>
      </c>
      <c r="K91" s="3">
        <v>12</v>
      </c>
      <c r="L91" s="3">
        <v>87</v>
      </c>
      <c r="M91" s="3">
        <v>4.26</v>
      </c>
      <c r="N91" s="3">
        <v>0</v>
      </c>
      <c r="O91" s="3">
        <v>4.5</v>
      </c>
      <c r="P91" s="3">
        <v>627171.9</v>
      </c>
      <c r="Q91" s="3">
        <v>105772.75</v>
      </c>
    </row>
    <row r="92" spans="1:17">
      <c r="A92" s="3" t="s">
        <v>44</v>
      </c>
      <c r="B92" s="5">
        <v>45717</v>
      </c>
      <c r="C92" s="3" t="s">
        <v>28</v>
      </c>
      <c r="D92" s="3" t="s">
        <v>24</v>
      </c>
      <c r="E92" s="4">
        <f t="shared" si="3"/>
        <v>1</v>
      </c>
      <c r="F92" s="4">
        <f t="shared" si="4"/>
        <v>0</v>
      </c>
      <c r="G92" s="4">
        <f t="shared" si="5"/>
        <v>0</v>
      </c>
      <c r="H92" s="3">
        <v>82116.19</v>
      </c>
      <c r="I92" s="3">
        <v>5988</v>
      </c>
      <c r="J92" s="3">
        <v>0.04</v>
      </c>
      <c r="K92" s="3">
        <v>17</v>
      </c>
      <c r="L92" s="3">
        <v>91.8</v>
      </c>
      <c r="M92" s="3">
        <v>5.75</v>
      </c>
      <c r="N92" s="3">
        <v>0</v>
      </c>
      <c r="O92" s="3">
        <v>4.7</v>
      </c>
      <c r="P92" s="3">
        <v>739852.58</v>
      </c>
      <c r="Q92" s="3">
        <v>129386.43</v>
      </c>
    </row>
    <row r="93" spans="1:17">
      <c r="A93" s="3" t="s">
        <v>44</v>
      </c>
      <c r="B93" s="5">
        <v>45748</v>
      </c>
      <c r="C93" s="3" t="s">
        <v>28</v>
      </c>
      <c r="D93" s="3" t="s">
        <v>24</v>
      </c>
      <c r="E93" s="4">
        <f t="shared" si="3"/>
        <v>1</v>
      </c>
      <c r="F93" s="4">
        <f t="shared" si="4"/>
        <v>0</v>
      </c>
      <c r="G93" s="4">
        <f t="shared" si="5"/>
        <v>0</v>
      </c>
      <c r="H93" s="3">
        <v>31207.51</v>
      </c>
      <c r="I93" s="3">
        <v>3701</v>
      </c>
      <c r="J93" s="3">
        <v>4.2999999999999997E-2</v>
      </c>
      <c r="K93" s="3">
        <v>11</v>
      </c>
      <c r="L93" s="3">
        <v>84.7</v>
      </c>
      <c r="M93" s="3">
        <v>0.33</v>
      </c>
      <c r="N93" s="3">
        <v>0</v>
      </c>
      <c r="O93" s="3">
        <v>4.3</v>
      </c>
      <c r="P93" s="3">
        <v>586307.22</v>
      </c>
      <c r="Q93" s="3">
        <v>73927.850000000006</v>
      </c>
    </row>
    <row r="94" spans="1:17">
      <c r="A94" s="3" t="s">
        <v>45</v>
      </c>
      <c r="B94" s="5">
        <v>45658</v>
      </c>
      <c r="C94" s="3" t="s">
        <v>16</v>
      </c>
      <c r="D94" s="3" t="s">
        <v>27</v>
      </c>
      <c r="E94" s="4">
        <f t="shared" si="3"/>
        <v>0</v>
      </c>
      <c r="F94" s="4">
        <f t="shared" si="4"/>
        <v>0</v>
      </c>
      <c r="G94" s="4">
        <f t="shared" si="5"/>
        <v>1</v>
      </c>
      <c r="H94" s="3">
        <v>38966.589999999997</v>
      </c>
      <c r="I94" s="3">
        <v>4509</v>
      </c>
      <c r="J94" s="3">
        <v>0.19400000000000001</v>
      </c>
      <c r="K94" s="3">
        <v>14</v>
      </c>
      <c r="L94" s="3">
        <v>91.1</v>
      </c>
      <c r="M94" s="3">
        <v>2.92</v>
      </c>
      <c r="N94" s="3">
        <v>0</v>
      </c>
      <c r="O94" s="3">
        <v>4.5999999999999996</v>
      </c>
      <c r="P94" s="3">
        <v>585937.48</v>
      </c>
      <c r="Q94" s="3">
        <v>82624.2</v>
      </c>
    </row>
    <row r="95" spans="1:17">
      <c r="A95" s="3" t="s">
        <v>45</v>
      </c>
      <c r="B95" s="5">
        <v>45689</v>
      </c>
      <c r="C95" s="3" t="s">
        <v>16</v>
      </c>
      <c r="D95" s="3" t="s">
        <v>27</v>
      </c>
      <c r="E95" s="4">
        <f t="shared" si="3"/>
        <v>0</v>
      </c>
      <c r="F95" s="4">
        <f t="shared" si="4"/>
        <v>0</v>
      </c>
      <c r="G95" s="4">
        <f t="shared" si="5"/>
        <v>1</v>
      </c>
      <c r="H95" s="3">
        <v>67439.3</v>
      </c>
      <c r="I95" s="3">
        <v>6477</v>
      </c>
      <c r="J95" s="3">
        <v>0</v>
      </c>
      <c r="K95" s="3">
        <v>16</v>
      </c>
      <c r="L95" s="3">
        <v>90.9</v>
      </c>
      <c r="M95" s="3">
        <v>1.64</v>
      </c>
      <c r="N95" s="3">
        <v>0</v>
      </c>
      <c r="O95" s="3">
        <v>4.5</v>
      </c>
      <c r="P95" s="3">
        <v>753473.55</v>
      </c>
      <c r="Q95" s="3">
        <v>151527.22</v>
      </c>
    </row>
    <row r="96" spans="1:17">
      <c r="A96" s="3" t="s">
        <v>45</v>
      </c>
      <c r="B96" s="5">
        <v>45717</v>
      </c>
      <c r="C96" s="3" t="s">
        <v>16</v>
      </c>
      <c r="D96" s="3" t="s">
        <v>27</v>
      </c>
      <c r="E96" s="4">
        <f t="shared" si="3"/>
        <v>0</v>
      </c>
      <c r="F96" s="4">
        <f t="shared" si="4"/>
        <v>0</v>
      </c>
      <c r="G96" s="4">
        <f t="shared" si="5"/>
        <v>1</v>
      </c>
      <c r="H96" s="3">
        <v>86421.88</v>
      </c>
      <c r="I96" s="3">
        <v>7970</v>
      </c>
      <c r="J96" s="3">
        <v>7.2999999999999995E-2</v>
      </c>
      <c r="K96" s="3">
        <v>17</v>
      </c>
      <c r="L96" s="3">
        <v>91.3</v>
      </c>
      <c r="M96" s="3">
        <v>0.8</v>
      </c>
      <c r="N96" s="3">
        <v>0</v>
      </c>
      <c r="O96" s="3">
        <v>5</v>
      </c>
      <c r="P96" s="3">
        <v>838250.32</v>
      </c>
      <c r="Q96" s="3">
        <v>122939.34</v>
      </c>
    </row>
    <row r="97" spans="1:17">
      <c r="A97" s="3" t="s">
        <v>45</v>
      </c>
      <c r="B97" s="5">
        <v>45748</v>
      </c>
      <c r="C97" s="3" t="s">
        <v>16</v>
      </c>
      <c r="D97" s="3" t="s">
        <v>27</v>
      </c>
      <c r="E97" s="4">
        <f t="shared" si="3"/>
        <v>0</v>
      </c>
      <c r="F97" s="4">
        <f t="shared" si="4"/>
        <v>0</v>
      </c>
      <c r="G97" s="4">
        <f t="shared" si="5"/>
        <v>1</v>
      </c>
      <c r="H97" s="3">
        <v>9534.65</v>
      </c>
      <c r="I97" s="3">
        <v>6057</v>
      </c>
      <c r="J97" s="3">
        <v>7.3999999999999996E-2</v>
      </c>
      <c r="K97" s="3">
        <v>15</v>
      </c>
      <c r="L97" s="3">
        <v>94.1</v>
      </c>
      <c r="M97" s="3">
        <v>5.79</v>
      </c>
      <c r="N97" s="3">
        <v>0</v>
      </c>
      <c r="O97" s="3">
        <v>4.5</v>
      </c>
      <c r="P97" s="3">
        <v>607898.12</v>
      </c>
      <c r="Q97" s="3">
        <v>135404.85</v>
      </c>
    </row>
    <row r="98" spans="1:17">
      <c r="A98" s="3" t="s">
        <v>46</v>
      </c>
      <c r="B98" s="5">
        <v>45658</v>
      </c>
      <c r="C98" s="3" t="s">
        <v>28</v>
      </c>
      <c r="D98" s="3" t="s">
        <v>27</v>
      </c>
      <c r="E98" s="4">
        <f t="shared" si="3"/>
        <v>0</v>
      </c>
      <c r="F98" s="4">
        <f t="shared" si="4"/>
        <v>0</v>
      </c>
      <c r="G98" s="4">
        <f t="shared" si="5"/>
        <v>1</v>
      </c>
      <c r="H98" s="3">
        <v>61132.07</v>
      </c>
      <c r="I98" s="3">
        <v>6394</v>
      </c>
      <c r="J98" s="3">
        <v>0.16300000000000001</v>
      </c>
      <c r="K98" s="3">
        <v>19</v>
      </c>
      <c r="L98" s="3">
        <v>91</v>
      </c>
      <c r="M98" s="3">
        <v>19.600000000000001</v>
      </c>
      <c r="N98" s="3">
        <v>0</v>
      </c>
      <c r="O98" s="3">
        <v>4.4000000000000004</v>
      </c>
      <c r="P98" s="3">
        <v>691113.62</v>
      </c>
      <c r="Q98" s="3">
        <v>135145.44</v>
      </c>
    </row>
    <row r="99" spans="1:17">
      <c r="A99" s="3" t="s">
        <v>46</v>
      </c>
      <c r="B99" s="5">
        <v>45689</v>
      </c>
      <c r="C99" s="3" t="s">
        <v>28</v>
      </c>
      <c r="D99" s="3" t="s">
        <v>27</v>
      </c>
      <c r="E99" s="4">
        <f t="shared" si="3"/>
        <v>0</v>
      </c>
      <c r="F99" s="4">
        <f t="shared" si="4"/>
        <v>0</v>
      </c>
      <c r="G99" s="4">
        <f t="shared" si="5"/>
        <v>1</v>
      </c>
      <c r="H99" s="3">
        <v>78839.39</v>
      </c>
      <c r="I99" s="3">
        <v>5150</v>
      </c>
      <c r="J99" s="3">
        <v>0.17100000000000001</v>
      </c>
      <c r="K99" s="3">
        <v>13</v>
      </c>
      <c r="L99" s="3">
        <v>85.8</v>
      </c>
      <c r="M99" s="3">
        <v>7.57</v>
      </c>
      <c r="N99" s="3">
        <v>0</v>
      </c>
      <c r="O99" s="3">
        <v>4.3</v>
      </c>
      <c r="P99" s="3">
        <v>735509.4</v>
      </c>
      <c r="Q99" s="3">
        <v>83895.96</v>
      </c>
    </row>
    <row r="100" spans="1:17">
      <c r="A100" s="3" t="s">
        <v>46</v>
      </c>
      <c r="B100" s="5">
        <v>45717</v>
      </c>
      <c r="C100" s="3" t="s">
        <v>28</v>
      </c>
      <c r="D100" s="3" t="s">
        <v>27</v>
      </c>
      <c r="E100" s="4">
        <f t="shared" si="3"/>
        <v>0</v>
      </c>
      <c r="F100" s="4">
        <f t="shared" si="4"/>
        <v>0</v>
      </c>
      <c r="G100" s="4">
        <f t="shared" si="5"/>
        <v>1</v>
      </c>
      <c r="H100" s="3">
        <v>38752.800000000003</v>
      </c>
      <c r="I100" s="3">
        <v>4712</v>
      </c>
      <c r="J100" s="3">
        <v>7.4999999999999997E-2</v>
      </c>
      <c r="K100" s="3">
        <v>15</v>
      </c>
      <c r="L100" s="3">
        <v>89.7</v>
      </c>
      <c r="M100" s="4">
        <v>0</v>
      </c>
      <c r="N100" s="3">
        <v>0</v>
      </c>
      <c r="O100" s="3">
        <v>4.3</v>
      </c>
      <c r="P100" s="3">
        <v>605775.32999999996</v>
      </c>
      <c r="Q100" s="3">
        <v>107194.6</v>
      </c>
    </row>
    <row r="101" spans="1:17">
      <c r="A101" s="3" t="s">
        <v>46</v>
      </c>
      <c r="B101" s="5">
        <v>45748</v>
      </c>
      <c r="C101" s="3" t="s">
        <v>28</v>
      </c>
      <c r="D101" s="3" t="s">
        <v>27</v>
      </c>
      <c r="E101" s="4">
        <f t="shared" si="3"/>
        <v>0</v>
      </c>
      <c r="F101" s="4">
        <f t="shared" si="4"/>
        <v>0</v>
      </c>
      <c r="G101" s="4">
        <f t="shared" si="5"/>
        <v>1</v>
      </c>
      <c r="H101" s="3">
        <v>55101.1</v>
      </c>
      <c r="I101" s="3">
        <v>5281</v>
      </c>
      <c r="J101" s="3">
        <v>0.189</v>
      </c>
      <c r="K101" s="3">
        <v>11</v>
      </c>
      <c r="L101" s="3">
        <v>91</v>
      </c>
      <c r="M101" s="3">
        <v>2.7</v>
      </c>
      <c r="N101" s="3">
        <v>0</v>
      </c>
      <c r="O101" s="3">
        <v>4.4000000000000004</v>
      </c>
      <c r="P101" s="3">
        <v>675177.68</v>
      </c>
      <c r="Q101" s="3">
        <v>105628.68</v>
      </c>
    </row>
    <row r="102" spans="1:17">
      <c r="A102" s="3" t="s">
        <v>47</v>
      </c>
      <c r="B102" s="5">
        <v>45658</v>
      </c>
      <c r="C102" s="3" t="s">
        <v>28</v>
      </c>
      <c r="D102" s="3" t="s">
        <v>15</v>
      </c>
      <c r="E102" s="4">
        <f t="shared" si="3"/>
        <v>0</v>
      </c>
      <c r="F102" s="4">
        <f t="shared" si="4"/>
        <v>1</v>
      </c>
      <c r="G102" s="4">
        <f t="shared" si="5"/>
        <v>0</v>
      </c>
      <c r="H102" s="3">
        <v>53084.76</v>
      </c>
      <c r="I102" s="3">
        <v>3642</v>
      </c>
      <c r="J102" s="3">
        <v>0.15</v>
      </c>
      <c r="K102" s="3">
        <v>12</v>
      </c>
      <c r="L102" s="3">
        <v>91.4</v>
      </c>
      <c r="M102" s="3">
        <v>0.2</v>
      </c>
      <c r="N102" s="3">
        <v>0</v>
      </c>
      <c r="O102" s="3">
        <v>4.4000000000000004</v>
      </c>
      <c r="P102" s="3">
        <v>635181.35</v>
      </c>
      <c r="Q102" s="3">
        <v>83341.25</v>
      </c>
    </row>
    <row r="103" spans="1:17">
      <c r="A103" s="3" t="s">
        <v>47</v>
      </c>
      <c r="B103" s="5">
        <v>45689</v>
      </c>
      <c r="C103" s="3" t="s">
        <v>28</v>
      </c>
      <c r="D103" s="3" t="s">
        <v>15</v>
      </c>
      <c r="E103" s="4">
        <f t="shared" si="3"/>
        <v>0</v>
      </c>
      <c r="F103" s="4">
        <f t="shared" si="4"/>
        <v>1</v>
      </c>
      <c r="G103" s="4">
        <f t="shared" si="5"/>
        <v>0</v>
      </c>
      <c r="H103" s="3">
        <v>63101.59</v>
      </c>
      <c r="I103" s="3">
        <v>4373</v>
      </c>
      <c r="J103" s="3">
        <v>0.17299999999999999</v>
      </c>
      <c r="K103" s="3">
        <v>14</v>
      </c>
      <c r="L103" s="3">
        <v>90.4</v>
      </c>
      <c r="M103" s="3">
        <v>7.87</v>
      </c>
      <c r="N103" s="3">
        <v>0</v>
      </c>
      <c r="O103" s="3">
        <v>4.7</v>
      </c>
      <c r="P103" s="3">
        <v>586626.93999999994</v>
      </c>
      <c r="Q103" s="3">
        <v>86498.55</v>
      </c>
    </row>
    <row r="104" spans="1:17">
      <c r="A104" s="3" t="s">
        <v>47</v>
      </c>
      <c r="B104" s="5">
        <v>45717</v>
      </c>
      <c r="C104" s="3" t="s">
        <v>28</v>
      </c>
      <c r="D104" s="3" t="s">
        <v>15</v>
      </c>
      <c r="E104" s="4">
        <f t="shared" si="3"/>
        <v>0</v>
      </c>
      <c r="F104" s="4">
        <f t="shared" si="4"/>
        <v>1</v>
      </c>
      <c r="G104" s="4">
        <f t="shared" si="5"/>
        <v>0</v>
      </c>
      <c r="H104" s="3">
        <v>90084.4</v>
      </c>
      <c r="I104" s="3">
        <v>6832</v>
      </c>
      <c r="J104" s="3">
        <v>0.185</v>
      </c>
      <c r="K104" s="3">
        <v>14</v>
      </c>
      <c r="L104" s="3">
        <v>80.5</v>
      </c>
      <c r="M104" s="3">
        <v>0.77</v>
      </c>
      <c r="N104" s="3">
        <v>1</v>
      </c>
      <c r="O104" s="3">
        <v>4.4000000000000004</v>
      </c>
      <c r="P104" s="3">
        <v>740102.64</v>
      </c>
      <c r="Q104" s="3">
        <v>114299.07</v>
      </c>
    </row>
    <row r="105" spans="1:17">
      <c r="A105" s="3" t="s">
        <v>47</v>
      </c>
      <c r="B105" s="5">
        <v>45748</v>
      </c>
      <c r="C105" s="3" t="s">
        <v>28</v>
      </c>
      <c r="D105" s="3" t="s">
        <v>15</v>
      </c>
      <c r="E105" s="4">
        <f t="shared" si="3"/>
        <v>0</v>
      </c>
      <c r="F105" s="4">
        <f t="shared" si="4"/>
        <v>1</v>
      </c>
      <c r="G105" s="4">
        <f t="shared" si="5"/>
        <v>0</v>
      </c>
      <c r="H105" s="3">
        <v>32266.639999999999</v>
      </c>
      <c r="I105" s="3">
        <v>2414</v>
      </c>
      <c r="J105" s="3">
        <v>0.08</v>
      </c>
      <c r="K105" s="3">
        <v>7</v>
      </c>
      <c r="L105" s="3">
        <v>92.1</v>
      </c>
      <c r="M105" s="3">
        <v>1.48</v>
      </c>
      <c r="N105" s="3">
        <v>0</v>
      </c>
      <c r="O105" s="3">
        <v>5</v>
      </c>
      <c r="P105" s="3">
        <v>625514.04</v>
      </c>
      <c r="Q105" s="3">
        <v>120685.08</v>
      </c>
    </row>
    <row r="106" spans="1:17">
      <c r="A106" s="3" t="s">
        <v>48</v>
      </c>
      <c r="B106" s="5">
        <v>45658</v>
      </c>
      <c r="C106" s="3" t="s">
        <v>18</v>
      </c>
      <c r="D106" s="3" t="s">
        <v>27</v>
      </c>
      <c r="E106" s="4">
        <f t="shared" si="3"/>
        <v>0</v>
      </c>
      <c r="F106" s="4">
        <f t="shared" si="4"/>
        <v>0</v>
      </c>
      <c r="G106" s="4">
        <f t="shared" si="5"/>
        <v>1</v>
      </c>
      <c r="H106" s="3">
        <v>57919.07</v>
      </c>
      <c r="I106" s="3">
        <v>7374</v>
      </c>
      <c r="J106" s="3">
        <v>0.10299999999999999</v>
      </c>
      <c r="K106" s="3">
        <v>21</v>
      </c>
      <c r="L106" s="3">
        <v>82.3</v>
      </c>
      <c r="M106" s="3">
        <v>2.87</v>
      </c>
      <c r="N106" s="3">
        <v>0</v>
      </c>
      <c r="O106" s="3">
        <v>2.9</v>
      </c>
      <c r="P106" s="3">
        <v>727227.2</v>
      </c>
      <c r="Q106" s="3">
        <v>121292.01</v>
      </c>
    </row>
    <row r="107" spans="1:17">
      <c r="A107" s="3" t="s">
        <v>48</v>
      </c>
      <c r="B107" s="5">
        <v>45689</v>
      </c>
      <c r="C107" s="3" t="s">
        <v>18</v>
      </c>
      <c r="D107" s="3" t="s">
        <v>27</v>
      </c>
      <c r="E107" s="4">
        <f t="shared" si="3"/>
        <v>0</v>
      </c>
      <c r="F107" s="4">
        <f t="shared" si="4"/>
        <v>0</v>
      </c>
      <c r="G107" s="4">
        <f t="shared" si="5"/>
        <v>1</v>
      </c>
      <c r="H107" s="3">
        <v>74679.350000000006</v>
      </c>
      <c r="I107" s="3">
        <v>8739</v>
      </c>
      <c r="J107" s="3">
        <v>5.6000000000000001E-2</v>
      </c>
      <c r="K107" s="3">
        <v>21</v>
      </c>
      <c r="L107" s="3">
        <v>91.8</v>
      </c>
      <c r="M107" s="3">
        <v>2.83</v>
      </c>
      <c r="N107" s="3">
        <v>0</v>
      </c>
      <c r="O107" s="3">
        <v>3</v>
      </c>
      <c r="P107" s="3">
        <v>783797.89</v>
      </c>
      <c r="Q107" s="3">
        <v>157620.70000000001</v>
      </c>
    </row>
    <row r="108" spans="1:17">
      <c r="A108" s="3" t="s">
        <v>48</v>
      </c>
      <c r="B108" s="5">
        <v>45717</v>
      </c>
      <c r="C108" s="3" t="s">
        <v>18</v>
      </c>
      <c r="D108" s="3" t="s">
        <v>27</v>
      </c>
      <c r="E108" s="4">
        <f t="shared" si="3"/>
        <v>0</v>
      </c>
      <c r="F108" s="4">
        <f t="shared" si="4"/>
        <v>0</v>
      </c>
      <c r="G108" s="4">
        <f t="shared" si="5"/>
        <v>1</v>
      </c>
      <c r="H108" s="3">
        <v>64294.23</v>
      </c>
      <c r="I108" s="3">
        <v>6992</v>
      </c>
      <c r="J108" s="3">
        <v>0.13300000000000001</v>
      </c>
      <c r="K108" s="3">
        <v>14</v>
      </c>
      <c r="L108" s="3">
        <v>94.1</v>
      </c>
      <c r="M108" s="3">
        <v>0.25</v>
      </c>
      <c r="N108" s="3">
        <v>0</v>
      </c>
      <c r="O108" s="3">
        <v>3</v>
      </c>
      <c r="P108" s="3">
        <v>795153.84</v>
      </c>
      <c r="Q108" s="3">
        <v>143194.21</v>
      </c>
    </row>
    <row r="109" spans="1:17">
      <c r="A109" s="3" t="s">
        <v>48</v>
      </c>
      <c r="B109" s="5">
        <v>45748</v>
      </c>
      <c r="C109" s="3" t="s">
        <v>18</v>
      </c>
      <c r="D109" s="3" t="s">
        <v>27</v>
      </c>
      <c r="E109" s="4">
        <f t="shared" si="3"/>
        <v>0</v>
      </c>
      <c r="F109" s="4">
        <f t="shared" si="4"/>
        <v>0</v>
      </c>
      <c r="G109" s="4">
        <f t="shared" si="5"/>
        <v>1</v>
      </c>
      <c r="H109" s="3">
        <v>31042.03</v>
      </c>
      <c r="I109" s="3">
        <v>7107</v>
      </c>
      <c r="J109" s="3">
        <v>5.0999999999999997E-2</v>
      </c>
      <c r="K109" s="3">
        <v>15</v>
      </c>
      <c r="L109" s="3">
        <v>87</v>
      </c>
      <c r="M109" s="3">
        <v>13.33</v>
      </c>
      <c r="N109" s="3">
        <v>0</v>
      </c>
      <c r="O109" s="3">
        <v>3.2</v>
      </c>
      <c r="P109" s="3">
        <v>665594.93999999994</v>
      </c>
      <c r="Q109" s="3">
        <v>127597.34</v>
      </c>
    </row>
    <row r="110" spans="1:17">
      <c r="A110" s="3" t="s">
        <v>49</v>
      </c>
      <c r="B110" s="5">
        <v>45658</v>
      </c>
      <c r="C110" s="3" t="s">
        <v>28</v>
      </c>
      <c r="D110" s="3" t="s">
        <v>15</v>
      </c>
      <c r="E110" s="4">
        <f t="shared" si="3"/>
        <v>0</v>
      </c>
      <c r="F110" s="4">
        <f t="shared" si="4"/>
        <v>1</v>
      </c>
      <c r="G110" s="4">
        <f t="shared" si="5"/>
        <v>0</v>
      </c>
      <c r="H110" s="3">
        <v>75265.02</v>
      </c>
      <c r="I110" s="3">
        <v>6975</v>
      </c>
      <c r="J110" s="3">
        <v>0.157</v>
      </c>
      <c r="K110" s="3">
        <v>20</v>
      </c>
      <c r="L110" s="3">
        <v>73.8</v>
      </c>
      <c r="M110" s="3">
        <v>6.35</v>
      </c>
      <c r="N110" s="3">
        <v>1</v>
      </c>
      <c r="O110" s="3">
        <v>3.8</v>
      </c>
      <c r="P110" s="3">
        <v>709478.39</v>
      </c>
      <c r="Q110" s="3">
        <v>71294.27</v>
      </c>
    </row>
    <row r="111" spans="1:17">
      <c r="A111" s="3" t="s">
        <v>49</v>
      </c>
      <c r="B111" s="5">
        <v>45689</v>
      </c>
      <c r="C111" s="3" t="s">
        <v>28</v>
      </c>
      <c r="D111" s="3" t="s">
        <v>15</v>
      </c>
      <c r="E111" s="4">
        <f t="shared" si="3"/>
        <v>0</v>
      </c>
      <c r="F111" s="4">
        <f t="shared" si="4"/>
        <v>1</v>
      </c>
      <c r="G111" s="4">
        <f t="shared" si="5"/>
        <v>0</v>
      </c>
      <c r="H111" s="3">
        <v>69411.7</v>
      </c>
      <c r="I111" s="3">
        <v>5493</v>
      </c>
      <c r="J111" s="3">
        <v>0.29199999999999998</v>
      </c>
      <c r="K111" s="3">
        <v>13</v>
      </c>
      <c r="L111" s="3">
        <v>86.5</v>
      </c>
      <c r="M111" s="3">
        <v>6.69</v>
      </c>
      <c r="N111" s="3">
        <v>0</v>
      </c>
      <c r="O111" s="3">
        <v>3.8</v>
      </c>
      <c r="P111" s="3">
        <v>664162.49</v>
      </c>
      <c r="Q111" s="3">
        <v>98291.06</v>
      </c>
    </row>
    <row r="112" spans="1:17">
      <c r="A112" s="3" t="s">
        <v>49</v>
      </c>
      <c r="B112" s="5">
        <v>45717</v>
      </c>
      <c r="C112" s="3" t="s">
        <v>28</v>
      </c>
      <c r="D112" s="3" t="s">
        <v>15</v>
      </c>
      <c r="E112" s="4">
        <f t="shared" si="3"/>
        <v>0</v>
      </c>
      <c r="F112" s="4">
        <f t="shared" si="4"/>
        <v>1</v>
      </c>
      <c r="G112" s="4">
        <f t="shared" si="5"/>
        <v>0</v>
      </c>
      <c r="H112" s="3">
        <v>51056.15</v>
      </c>
      <c r="I112" s="3">
        <v>5686</v>
      </c>
      <c r="J112" s="3">
        <v>8.8999999999999996E-2</v>
      </c>
      <c r="K112" s="3">
        <v>13</v>
      </c>
      <c r="L112" s="3">
        <v>89.9</v>
      </c>
      <c r="M112" s="3">
        <v>1.28</v>
      </c>
      <c r="N112" s="3">
        <v>0</v>
      </c>
      <c r="O112" s="3">
        <v>4.2</v>
      </c>
      <c r="P112" s="3">
        <v>633494.21</v>
      </c>
      <c r="Q112" s="3">
        <v>105739.47</v>
      </c>
    </row>
    <row r="113" spans="1:17">
      <c r="A113" s="3" t="s">
        <v>49</v>
      </c>
      <c r="B113" s="5">
        <v>45748</v>
      </c>
      <c r="C113" s="3" t="s">
        <v>28</v>
      </c>
      <c r="D113" s="3" t="s">
        <v>15</v>
      </c>
      <c r="E113" s="4">
        <f t="shared" si="3"/>
        <v>0</v>
      </c>
      <c r="F113" s="4">
        <f t="shared" si="4"/>
        <v>1</v>
      </c>
      <c r="G113" s="4">
        <f t="shared" si="5"/>
        <v>0</v>
      </c>
      <c r="H113" s="3">
        <v>52758.01</v>
      </c>
      <c r="I113" s="3">
        <v>4063</v>
      </c>
      <c r="J113" s="3">
        <v>5.7000000000000002E-2</v>
      </c>
      <c r="K113" s="3">
        <v>12</v>
      </c>
      <c r="L113" s="3">
        <v>91.7</v>
      </c>
      <c r="M113" s="3">
        <v>0.92</v>
      </c>
      <c r="N113" s="3">
        <v>0</v>
      </c>
      <c r="O113" s="3">
        <v>3.5</v>
      </c>
      <c r="P113" s="3">
        <v>713611.16</v>
      </c>
      <c r="Q113" s="3">
        <v>129717.18</v>
      </c>
    </row>
    <row r="114" spans="1:17">
      <c r="A114" s="3" t="s">
        <v>50</v>
      </c>
      <c r="B114" s="5">
        <v>45658</v>
      </c>
      <c r="C114" s="3" t="s">
        <v>28</v>
      </c>
      <c r="D114" s="3" t="s">
        <v>27</v>
      </c>
      <c r="E114" s="4">
        <f t="shared" si="3"/>
        <v>0</v>
      </c>
      <c r="F114" s="4">
        <f t="shared" si="4"/>
        <v>0</v>
      </c>
      <c r="G114" s="4">
        <f t="shared" si="5"/>
        <v>1</v>
      </c>
      <c r="H114" s="3">
        <v>61426.04</v>
      </c>
      <c r="I114" s="3">
        <v>8966</v>
      </c>
      <c r="J114" s="3">
        <v>0.17299999999999999</v>
      </c>
      <c r="K114" s="3">
        <v>22</v>
      </c>
      <c r="L114" s="3">
        <v>76.400000000000006</v>
      </c>
      <c r="M114" s="3">
        <v>1.05</v>
      </c>
      <c r="N114" s="3">
        <v>0</v>
      </c>
      <c r="O114" s="3">
        <v>3.1</v>
      </c>
      <c r="P114" s="3">
        <v>778397.97</v>
      </c>
      <c r="Q114" s="3">
        <v>120044.41</v>
      </c>
    </row>
    <row r="115" spans="1:17">
      <c r="A115" s="3" t="s">
        <v>50</v>
      </c>
      <c r="B115" s="5">
        <v>45689</v>
      </c>
      <c r="C115" s="3" t="s">
        <v>28</v>
      </c>
      <c r="D115" s="3" t="s">
        <v>27</v>
      </c>
      <c r="E115" s="4">
        <f t="shared" si="3"/>
        <v>0</v>
      </c>
      <c r="F115" s="4">
        <f t="shared" si="4"/>
        <v>0</v>
      </c>
      <c r="G115" s="4">
        <f t="shared" si="5"/>
        <v>1</v>
      </c>
      <c r="H115" s="3">
        <v>80176.34</v>
      </c>
      <c r="I115" s="3">
        <v>9489</v>
      </c>
      <c r="J115" s="3">
        <v>0.14199999999999999</v>
      </c>
      <c r="K115" s="3">
        <v>22</v>
      </c>
      <c r="L115" s="3">
        <v>94.3</v>
      </c>
      <c r="M115" s="3">
        <v>2.67</v>
      </c>
      <c r="N115" s="3">
        <v>0</v>
      </c>
      <c r="O115" s="3">
        <v>3.5</v>
      </c>
      <c r="P115" s="3">
        <v>873380.02</v>
      </c>
      <c r="Q115" s="3">
        <v>149734.76</v>
      </c>
    </row>
    <row r="116" spans="1:17">
      <c r="A116" s="3" t="s">
        <v>50</v>
      </c>
      <c r="B116" s="5">
        <v>45717</v>
      </c>
      <c r="C116" s="3" t="s">
        <v>28</v>
      </c>
      <c r="D116" s="3" t="s">
        <v>27</v>
      </c>
      <c r="E116" s="4">
        <f t="shared" si="3"/>
        <v>0</v>
      </c>
      <c r="F116" s="4">
        <f t="shared" si="4"/>
        <v>0</v>
      </c>
      <c r="G116" s="4">
        <f t="shared" si="5"/>
        <v>1</v>
      </c>
      <c r="H116" s="3">
        <v>33605.18</v>
      </c>
      <c r="I116" s="3">
        <v>9225</v>
      </c>
      <c r="J116" s="3">
        <v>0.159</v>
      </c>
      <c r="K116" s="3">
        <v>23</v>
      </c>
      <c r="L116" s="3">
        <v>88.4</v>
      </c>
      <c r="M116" s="3">
        <v>5.91</v>
      </c>
      <c r="N116" s="3">
        <v>0</v>
      </c>
      <c r="O116" s="3">
        <v>2.8</v>
      </c>
      <c r="P116" s="3">
        <v>697287.9</v>
      </c>
      <c r="Q116" s="3">
        <v>128208.33</v>
      </c>
    </row>
    <row r="117" spans="1:17">
      <c r="A117" s="3" t="s">
        <v>50</v>
      </c>
      <c r="B117" s="5">
        <v>45748</v>
      </c>
      <c r="C117" s="3" t="s">
        <v>28</v>
      </c>
      <c r="D117" s="3" t="s">
        <v>27</v>
      </c>
      <c r="E117" s="4">
        <f t="shared" si="3"/>
        <v>0</v>
      </c>
      <c r="F117" s="4">
        <f t="shared" si="4"/>
        <v>0</v>
      </c>
      <c r="G117" s="4">
        <f t="shared" si="5"/>
        <v>1</v>
      </c>
      <c r="H117" s="3">
        <v>25990.54</v>
      </c>
      <c r="I117" s="3">
        <v>9249</v>
      </c>
      <c r="J117" s="3">
        <v>0.13900000000000001</v>
      </c>
      <c r="K117" s="3">
        <v>23</v>
      </c>
      <c r="L117" s="3">
        <v>92.5</v>
      </c>
      <c r="M117" s="3">
        <v>6.37</v>
      </c>
      <c r="N117" s="3">
        <v>0</v>
      </c>
      <c r="O117" s="3">
        <v>3.3</v>
      </c>
      <c r="P117" s="3">
        <v>718074.79</v>
      </c>
      <c r="Q117" s="3">
        <v>115819.87</v>
      </c>
    </row>
    <row r="118" spans="1:17">
      <c r="A118" s="3" t="s">
        <v>51</v>
      </c>
      <c r="B118" s="5">
        <v>45658</v>
      </c>
      <c r="C118" s="3" t="s">
        <v>16</v>
      </c>
      <c r="D118" s="3" t="s">
        <v>27</v>
      </c>
      <c r="E118" s="4">
        <f t="shared" si="3"/>
        <v>0</v>
      </c>
      <c r="F118" s="4">
        <f t="shared" si="4"/>
        <v>0</v>
      </c>
      <c r="G118" s="4">
        <f t="shared" si="5"/>
        <v>1</v>
      </c>
      <c r="H118" s="3">
        <v>43685.14</v>
      </c>
      <c r="I118" s="3">
        <v>7821</v>
      </c>
      <c r="J118" s="3">
        <v>0.19</v>
      </c>
      <c r="K118" s="3">
        <v>17</v>
      </c>
      <c r="L118" s="3">
        <v>91</v>
      </c>
      <c r="M118" s="3">
        <v>2.4900000000000002</v>
      </c>
      <c r="N118" s="3">
        <v>1</v>
      </c>
      <c r="O118" s="3">
        <v>4.7</v>
      </c>
      <c r="P118" s="3">
        <v>714942.43</v>
      </c>
      <c r="Q118" s="3">
        <v>94697.71</v>
      </c>
    </row>
    <row r="119" spans="1:17">
      <c r="A119" s="3" t="s">
        <v>51</v>
      </c>
      <c r="B119" s="5">
        <v>45689</v>
      </c>
      <c r="C119" s="3" t="s">
        <v>16</v>
      </c>
      <c r="D119" s="3" t="s">
        <v>27</v>
      </c>
      <c r="E119" s="4">
        <f t="shared" si="3"/>
        <v>0</v>
      </c>
      <c r="F119" s="4">
        <f t="shared" si="4"/>
        <v>0</v>
      </c>
      <c r="G119" s="4">
        <f t="shared" si="5"/>
        <v>1</v>
      </c>
      <c r="H119" s="3">
        <v>57360.01</v>
      </c>
      <c r="I119" s="3">
        <v>8434</v>
      </c>
      <c r="J119" s="3">
        <v>0.151</v>
      </c>
      <c r="K119" s="3">
        <v>19</v>
      </c>
      <c r="L119" s="3">
        <v>84.1</v>
      </c>
      <c r="M119" s="3">
        <v>1.56</v>
      </c>
      <c r="N119" s="3">
        <v>0</v>
      </c>
      <c r="O119" s="3">
        <v>4.7</v>
      </c>
      <c r="P119" s="3">
        <v>820519.04</v>
      </c>
      <c r="Q119" s="3">
        <v>99035.88</v>
      </c>
    </row>
    <row r="120" spans="1:17">
      <c r="A120" s="3" t="s">
        <v>51</v>
      </c>
      <c r="B120" s="5">
        <v>45717</v>
      </c>
      <c r="C120" s="3" t="s">
        <v>16</v>
      </c>
      <c r="D120" s="3" t="s">
        <v>27</v>
      </c>
      <c r="E120" s="4">
        <f t="shared" si="3"/>
        <v>0</v>
      </c>
      <c r="F120" s="4">
        <f t="shared" si="4"/>
        <v>0</v>
      </c>
      <c r="G120" s="4">
        <f t="shared" si="5"/>
        <v>1</v>
      </c>
      <c r="H120" s="3">
        <v>42415.47</v>
      </c>
      <c r="I120" s="3">
        <v>8512</v>
      </c>
      <c r="J120" s="3">
        <v>0.13300000000000001</v>
      </c>
      <c r="K120" s="3">
        <v>18</v>
      </c>
      <c r="L120" s="3">
        <v>96.8</v>
      </c>
      <c r="M120" s="3">
        <v>14.95</v>
      </c>
      <c r="N120" s="3">
        <v>0</v>
      </c>
      <c r="O120" s="3">
        <v>4.5999999999999996</v>
      </c>
      <c r="P120" s="3">
        <v>684217.32</v>
      </c>
      <c r="Q120" s="3">
        <v>136217.19</v>
      </c>
    </row>
    <row r="121" spans="1:17">
      <c r="A121" s="3" t="s">
        <v>51</v>
      </c>
      <c r="B121" s="5">
        <v>45748</v>
      </c>
      <c r="C121" s="3" t="s">
        <v>16</v>
      </c>
      <c r="D121" s="3" t="s">
        <v>27</v>
      </c>
      <c r="E121" s="4">
        <f t="shared" si="3"/>
        <v>0</v>
      </c>
      <c r="F121" s="4">
        <f t="shared" si="4"/>
        <v>0</v>
      </c>
      <c r="G121" s="4">
        <f t="shared" si="5"/>
        <v>1</v>
      </c>
      <c r="H121" s="3">
        <v>54968.98</v>
      </c>
      <c r="I121" s="3">
        <v>7816</v>
      </c>
      <c r="J121" s="3">
        <v>0.23200000000000001</v>
      </c>
      <c r="K121" s="3">
        <v>19</v>
      </c>
      <c r="L121" s="3">
        <v>95.7</v>
      </c>
      <c r="M121" s="3">
        <v>7.85</v>
      </c>
      <c r="N121" s="3">
        <v>0</v>
      </c>
      <c r="O121" s="3">
        <v>4.7</v>
      </c>
      <c r="P121" s="3">
        <v>735480.19</v>
      </c>
      <c r="Q121" s="3">
        <v>88342.11</v>
      </c>
    </row>
    <row r="122" spans="1:17">
      <c r="A122" s="3" t="s">
        <v>52</v>
      </c>
      <c r="B122" s="5">
        <v>45658</v>
      </c>
      <c r="C122" s="3" t="s">
        <v>18</v>
      </c>
      <c r="D122" s="3" t="s">
        <v>20</v>
      </c>
      <c r="E122" s="4">
        <f t="shared" si="3"/>
        <v>0</v>
      </c>
      <c r="F122" s="4">
        <f t="shared" si="4"/>
        <v>0</v>
      </c>
      <c r="G122" s="4">
        <f t="shared" si="5"/>
        <v>0</v>
      </c>
      <c r="H122" s="3">
        <v>43896.13</v>
      </c>
      <c r="I122" s="3">
        <v>3853</v>
      </c>
      <c r="J122" s="3">
        <v>8.7999999999999995E-2</v>
      </c>
      <c r="K122" s="3">
        <v>13</v>
      </c>
      <c r="L122" s="3">
        <v>83</v>
      </c>
      <c r="M122" s="3">
        <v>6.8</v>
      </c>
      <c r="N122" s="3">
        <v>0</v>
      </c>
      <c r="O122" s="3">
        <v>4.4000000000000004</v>
      </c>
      <c r="P122" s="3">
        <v>509484.81</v>
      </c>
      <c r="Q122" s="3">
        <v>85742.36</v>
      </c>
    </row>
    <row r="123" spans="1:17">
      <c r="A123" s="3" t="s">
        <v>52</v>
      </c>
      <c r="B123" s="5">
        <v>45689</v>
      </c>
      <c r="C123" s="3" t="s">
        <v>18</v>
      </c>
      <c r="D123" s="3" t="s">
        <v>20</v>
      </c>
      <c r="E123" s="4">
        <f t="shared" si="3"/>
        <v>0</v>
      </c>
      <c r="F123" s="4">
        <f t="shared" si="4"/>
        <v>0</v>
      </c>
      <c r="G123" s="4">
        <f t="shared" si="5"/>
        <v>0</v>
      </c>
      <c r="H123" s="3">
        <v>83044.17</v>
      </c>
      <c r="I123" s="3">
        <v>3694</v>
      </c>
      <c r="J123" s="3">
        <v>0</v>
      </c>
      <c r="K123" s="3">
        <v>14</v>
      </c>
      <c r="L123" s="3">
        <v>89.4</v>
      </c>
      <c r="M123" s="3">
        <v>2.2000000000000002</v>
      </c>
      <c r="N123" s="3">
        <v>0</v>
      </c>
      <c r="O123" s="3">
        <v>3.7</v>
      </c>
      <c r="P123" s="3">
        <v>654317.09</v>
      </c>
      <c r="Q123" s="3">
        <v>121446.89</v>
      </c>
    </row>
    <row r="124" spans="1:17">
      <c r="A124" s="3" t="s">
        <v>52</v>
      </c>
      <c r="B124" s="5">
        <v>45717</v>
      </c>
      <c r="C124" s="3" t="s">
        <v>18</v>
      </c>
      <c r="D124" s="3" t="s">
        <v>20</v>
      </c>
      <c r="E124" s="4">
        <f t="shared" si="3"/>
        <v>0</v>
      </c>
      <c r="F124" s="4">
        <f t="shared" si="4"/>
        <v>0</v>
      </c>
      <c r="G124" s="4">
        <f t="shared" si="5"/>
        <v>0</v>
      </c>
      <c r="H124" s="3">
        <v>48396.13</v>
      </c>
      <c r="I124" s="3">
        <v>4423</v>
      </c>
      <c r="J124" s="3">
        <v>6.9000000000000006E-2</v>
      </c>
      <c r="K124" s="3">
        <v>15</v>
      </c>
      <c r="L124" s="3">
        <v>85.7</v>
      </c>
      <c r="M124" s="3">
        <v>1.88</v>
      </c>
      <c r="N124" s="3">
        <v>0</v>
      </c>
      <c r="O124" s="3">
        <v>3.9</v>
      </c>
      <c r="P124" s="3">
        <v>557487.26</v>
      </c>
      <c r="Q124" s="3">
        <v>76432.19</v>
      </c>
    </row>
    <row r="125" spans="1:17">
      <c r="A125" s="3" t="s">
        <v>52</v>
      </c>
      <c r="B125" s="5">
        <v>45748</v>
      </c>
      <c r="C125" s="3" t="s">
        <v>18</v>
      </c>
      <c r="D125" s="3" t="s">
        <v>20</v>
      </c>
      <c r="E125" s="4">
        <f t="shared" si="3"/>
        <v>0</v>
      </c>
      <c r="F125" s="4">
        <f t="shared" si="4"/>
        <v>0</v>
      </c>
      <c r="G125" s="4">
        <f t="shared" si="5"/>
        <v>0</v>
      </c>
      <c r="H125" s="3">
        <v>19063.48</v>
      </c>
      <c r="I125" s="3">
        <v>1906</v>
      </c>
      <c r="J125" s="3">
        <v>0.216</v>
      </c>
      <c r="K125" s="3">
        <v>10</v>
      </c>
      <c r="L125" s="3">
        <v>97.8</v>
      </c>
      <c r="M125" s="3">
        <v>15.79</v>
      </c>
      <c r="N125" s="3">
        <v>0</v>
      </c>
      <c r="O125" s="3">
        <v>4.4000000000000004</v>
      </c>
      <c r="P125" s="3">
        <v>441275.42</v>
      </c>
      <c r="Q125" s="3">
        <v>58234.87</v>
      </c>
    </row>
    <row r="126" spans="1:17">
      <c r="A126" s="3" t="s">
        <v>53</v>
      </c>
      <c r="B126" s="5">
        <v>45658</v>
      </c>
      <c r="C126" s="3" t="s">
        <v>18</v>
      </c>
      <c r="D126" s="3" t="s">
        <v>24</v>
      </c>
      <c r="E126" s="4">
        <f t="shared" si="3"/>
        <v>1</v>
      </c>
      <c r="F126" s="4">
        <f t="shared" si="4"/>
        <v>0</v>
      </c>
      <c r="G126" s="4">
        <f t="shared" si="5"/>
        <v>0</v>
      </c>
      <c r="H126" s="3">
        <v>61541.21</v>
      </c>
      <c r="I126" s="3">
        <v>10396</v>
      </c>
      <c r="J126" s="3">
        <v>0.123</v>
      </c>
      <c r="K126" s="3">
        <v>25</v>
      </c>
      <c r="L126" s="3">
        <v>88.1</v>
      </c>
      <c r="M126" s="3">
        <v>2.34</v>
      </c>
      <c r="N126" s="3">
        <v>1</v>
      </c>
      <c r="O126" s="3">
        <v>4.8</v>
      </c>
      <c r="P126" s="3">
        <v>914544.17</v>
      </c>
      <c r="Q126" s="3">
        <v>79831.73</v>
      </c>
    </row>
    <row r="127" spans="1:17">
      <c r="A127" s="3" t="s">
        <v>53</v>
      </c>
      <c r="B127" s="5">
        <v>45689</v>
      </c>
      <c r="C127" s="3" t="s">
        <v>18</v>
      </c>
      <c r="D127" s="3" t="s">
        <v>24</v>
      </c>
      <c r="E127" s="4">
        <f t="shared" si="3"/>
        <v>1</v>
      </c>
      <c r="F127" s="4">
        <f t="shared" si="4"/>
        <v>0</v>
      </c>
      <c r="G127" s="4">
        <f t="shared" si="5"/>
        <v>0</v>
      </c>
      <c r="H127" s="3">
        <v>44747</v>
      </c>
      <c r="I127" s="3">
        <v>11076</v>
      </c>
      <c r="J127" s="3">
        <v>0.17599999999999999</v>
      </c>
      <c r="K127" s="3">
        <v>27</v>
      </c>
      <c r="L127" s="3">
        <v>98.3</v>
      </c>
      <c r="M127" s="3">
        <v>0.54</v>
      </c>
      <c r="N127" s="3">
        <v>0</v>
      </c>
      <c r="O127" s="3">
        <v>4.4000000000000004</v>
      </c>
      <c r="P127" s="3">
        <v>842439.67</v>
      </c>
      <c r="Q127" s="3">
        <v>169983.63</v>
      </c>
    </row>
    <row r="128" spans="1:17">
      <c r="A128" s="3" t="s">
        <v>53</v>
      </c>
      <c r="B128" s="5">
        <v>45717</v>
      </c>
      <c r="C128" s="3" t="s">
        <v>18</v>
      </c>
      <c r="D128" s="3" t="s">
        <v>24</v>
      </c>
      <c r="E128" s="4">
        <f t="shared" si="3"/>
        <v>1</v>
      </c>
      <c r="F128" s="4">
        <f t="shared" si="4"/>
        <v>0</v>
      </c>
      <c r="G128" s="4">
        <f t="shared" si="5"/>
        <v>0</v>
      </c>
      <c r="H128" s="3">
        <v>56517.9</v>
      </c>
      <c r="I128" s="3">
        <v>9574</v>
      </c>
      <c r="J128" s="3">
        <v>0.20399999999999999</v>
      </c>
      <c r="K128" s="3">
        <v>20</v>
      </c>
      <c r="L128" s="3">
        <v>88.2</v>
      </c>
      <c r="M128" s="3">
        <v>5.37</v>
      </c>
      <c r="N128" s="3">
        <v>1</v>
      </c>
      <c r="O128" s="3">
        <v>4.9000000000000004</v>
      </c>
      <c r="P128" s="3">
        <v>842157.92</v>
      </c>
      <c r="Q128" s="3">
        <v>107348.22</v>
      </c>
    </row>
    <row r="129" spans="1:17">
      <c r="A129" s="3" t="s">
        <v>53</v>
      </c>
      <c r="B129" s="5">
        <v>45748</v>
      </c>
      <c r="C129" s="3" t="s">
        <v>18</v>
      </c>
      <c r="D129" s="3" t="s">
        <v>24</v>
      </c>
      <c r="E129" s="4">
        <f t="shared" si="3"/>
        <v>1</v>
      </c>
      <c r="F129" s="4">
        <f t="shared" si="4"/>
        <v>0</v>
      </c>
      <c r="G129" s="4">
        <f t="shared" si="5"/>
        <v>0</v>
      </c>
      <c r="H129" s="3">
        <v>37828.5</v>
      </c>
      <c r="I129" s="3">
        <v>8221</v>
      </c>
      <c r="J129" s="3">
        <v>9.6000000000000002E-2</v>
      </c>
      <c r="K129" s="3">
        <v>19</v>
      </c>
      <c r="L129" s="3">
        <v>81.5</v>
      </c>
      <c r="M129" s="3">
        <v>3.19</v>
      </c>
      <c r="N129" s="3">
        <v>0</v>
      </c>
      <c r="O129" s="3">
        <v>4.8</v>
      </c>
      <c r="P129" s="3">
        <v>697155.3</v>
      </c>
      <c r="Q129" s="3">
        <v>136408.54</v>
      </c>
    </row>
    <row r="130" spans="1:17">
      <c r="A130" s="3" t="s">
        <v>54</v>
      </c>
      <c r="B130" s="5">
        <v>45658</v>
      </c>
      <c r="C130" s="3" t="s">
        <v>18</v>
      </c>
      <c r="D130" s="3" t="s">
        <v>15</v>
      </c>
      <c r="E130" s="4">
        <f t="shared" si="3"/>
        <v>0</v>
      </c>
      <c r="F130" s="4">
        <f t="shared" si="4"/>
        <v>1</v>
      </c>
      <c r="G130" s="4">
        <f t="shared" si="5"/>
        <v>0</v>
      </c>
      <c r="H130" s="3">
        <v>66250.53</v>
      </c>
      <c r="I130" s="3">
        <v>10618</v>
      </c>
      <c r="J130" s="3">
        <v>0.14199999999999999</v>
      </c>
      <c r="K130" s="3">
        <v>27</v>
      </c>
      <c r="L130" s="3">
        <v>88.3</v>
      </c>
      <c r="M130" s="3">
        <v>1.1000000000000001</v>
      </c>
      <c r="N130" s="3">
        <v>1</v>
      </c>
      <c r="O130" s="3">
        <v>4.4000000000000004</v>
      </c>
      <c r="P130" s="3">
        <v>849018.3</v>
      </c>
      <c r="Q130" s="3">
        <v>149035.13</v>
      </c>
    </row>
    <row r="131" spans="1:17">
      <c r="A131" s="3" t="s">
        <v>54</v>
      </c>
      <c r="B131" s="5">
        <v>45689</v>
      </c>
      <c r="C131" s="3" t="s">
        <v>18</v>
      </c>
      <c r="D131" s="3" t="s">
        <v>15</v>
      </c>
      <c r="E131" s="4">
        <f t="shared" ref="E131:E194" si="6">IF(D131="South",1,0)</f>
        <v>0</v>
      </c>
      <c r="F131" s="4">
        <f t="shared" ref="F131:F194" si="7">IF(D131="East",1,0)</f>
        <v>1</v>
      </c>
      <c r="G131" s="4">
        <f t="shared" ref="G131:G194" si="8">IF(D131="West",1,0)</f>
        <v>0</v>
      </c>
      <c r="H131" s="3">
        <v>68410.929999999993</v>
      </c>
      <c r="I131" s="3">
        <v>10596</v>
      </c>
      <c r="J131" s="3">
        <v>0.20699999999999999</v>
      </c>
      <c r="K131" s="3">
        <v>25</v>
      </c>
      <c r="L131" s="3">
        <v>81.2</v>
      </c>
      <c r="M131" s="3">
        <v>0.21</v>
      </c>
      <c r="N131" s="3">
        <v>0</v>
      </c>
      <c r="O131" s="3">
        <v>4</v>
      </c>
      <c r="P131" s="3">
        <v>801830.35</v>
      </c>
      <c r="Q131" s="3">
        <v>114875.32</v>
      </c>
    </row>
    <row r="132" spans="1:17">
      <c r="A132" s="3" t="s">
        <v>54</v>
      </c>
      <c r="B132" s="5">
        <v>45717</v>
      </c>
      <c r="C132" s="3" t="s">
        <v>18</v>
      </c>
      <c r="D132" s="3" t="s">
        <v>15</v>
      </c>
      <c r="E132" s="4">
        <f t="shared" si="6"/>
        <v>0</v>
      </c>
      <c r="F132" s="4">
        <f t="shared" si="7"/>
        <v>1</v>
      </c>
      <c r="G132" s="4">
        <f t="shared" si="8"/>
        <v>0</v>
      </c>
      <c r="H132" s="3">
        <v>50735.63</v>
      </c>
      <c r="I132" s="3">
        <v>9619</v>
      </c>
      <c r="J132" s="3">
        <v>0.14399999999999999</v>
      </c>
      <c r="K132" s="3">
        <v>19</v>
      </c>
      <c r="L132" s="3">
        <v>93.8</v>
      </c>
      <c r="M132" s="3">
        <v>5.12</v>
      </c>
      <c r="N132" s="3">
        <v>1</v>
      </c>
      <c r="O132" s="3">
        <v>4.5</v>
      </c>
      <c r="P132" s="3">
        <v>725235.28</v>
      </c>
      <c r="Q132" s="3">
        <v>121632.24</v>
      </c>
    </row>
    <row r="133" spans="1:17">
      <c r="A133" s="3" t="s">
        <v>54</v>
      </c>
      <c r="B133" s="5">
        <v>45748</v>
      </c>
      <c r="C133" s="3" t="s">
        <v>18</v>
      </c>
      <c r="D133" s="3" t="s">
        <v>15</v>
      </c>
      <c r="E133" s="4">
        <f t="shared" si="6"/>
        <v>0</v>
      </c>
      <c r="F133" s="4">
        <f t="shared" si="7"/>
        <v>1</v>
      </c>
      <c r="G133" s="4">
        <f t="shared" si="8"/>
        <v>0</v>
      </c>
      <c r="H133" s="3">
        <v>66455.8</v>
      </c>
      <c r="I133" s="3">
        <v>10836</v>
      </c>
      <c r="J133" s="3">
        <v>8.8999999999999996E-2</v>
      </c>
      <c r="K133" s="3">
        <v>25</v>
      </c>
      <c r="L133" s="3">
        <v>85</v>
      </c>
      <c r="M133" s="3">
        <v>9.77</v>
      </c>
      <c r="N133" s="3">
        <v>0</v>
      </c>
      <c r="O133" s="3">
        <v>4.5</v>
      </c>
      <c r="P133" s="3">
        <v>811452.72</v>
      </c>
      <c r="Q133" s="3">
        <v>131325.67000000001</v>
      </c>
    </row>
    <row r="134" spans="1:17">
      <c r="A134" s="3" t="s">
        <v>55</v>
      </c>
      <c r="B134" s="5">
        <v>45658</v>
      </c>
      <c r="C134" s="3" t="s">
        <v>18</v>
      </c>
      <c r="D134" s="3" t="s">
        <v>20</v>
      </c>
      <c r="E134" s="4">
        <f t="shared" si="6"/>
        <v>0</v>
      </c>
      <c r="F134" s="4">
        <f t="shared" si="7"/>
        <v>0</v>
      </c>
      <c r="G134" s="4">
        <f t="shared" si="8"/>
        <v>0</v>
      </c>
      <c r="H134" s="3">
        <v>70276.28</v>
      </c>
      <c r="I134" s="3">
        <v>3043</v>
      </c>
      <c r="J134" s="3">
        <v>7.9000000000000001E-2</v>
      </c>
      <c r="K134" s="3">
        <v>9</v>
      </c>
      <c r="L134" s="3">
        <v>87.9</v>
      </c>
      <c r="M134" s="3">
        <v>3.77</v>
      </c>
      <c r="N134" s="3">
        <v>0</v>
      </c>
      <c r="O134" s="3">
        <v>4.4000000000000004</v>
      </c>
      <c r="P134" s="3">
        <v>527300.13</v>
      </c>
      <c r="Q134" s="3">
        <v>84197.87</v>
      </c>
    </row>
    <row r="135" spans="1:17">
      <c r="A135" s="3" t="s">
        <v>55</v>
      </c>
      <c r="B135" s="5">
        <v>45689</v>
      </c>
      <c r="C135" s="3" t="s">
        <v>18</v>
      </c>
      <c r="D135" s="3" t="s">
        <v>20</v>
      </c>
      <c r="E135" s="4">
        <f t="shared" si="6"/>
        <v>0</v>
      </c>
      <c r="F135" s="4">
        <f t="shared" si="7"/>
        <v>0</v>
      </c>
      <c r="G135" s="4">
        <f t="shared" si="8"/>
        <v>0</v>
      </c>
      <c r="H135" s="3">
        <v>22071.64</v>
      </c>
      <c r="I135" s="3">
        <v>1814</v>
      </c>
      <c r="J135" s="3">
        <v>0.19600000000000001</v>
      </c>
      <c r="K135" s="3">
        <v>8</v>
      </c>
      <c r="L135" s="3">
        <v>81.099999999999994</v>
      </c>
      <c r="M135" s="3">
        <v>0.78</v>
      </c>
      <c r="N135" s="3">
        <v>0</v>
      </c>
      <c r="O135" s="4">
        <v>0</v>
      </c>
      <c r="P135" s="3">
        <v>400831.65</v>
      </c>
      <c r="Q135" s="3">
        <v>70979.31</v>
      </c>
    </row>
    <row r="136" spans="1:17">
      <c r="A136" s="3" t="s">
        <v>55</v>
      </c>
      <c r="B136" s="5">
        <v>45717</v>
      </c>
      <c r="C136" s="3" t="s">
        <v>18</v>
      </c>
      <c r="D136" s="3" t="s">
        <v>20</v>
      </c>
      <c r="E136" s="4">
        <f t="shared" si="6"/>
        <v>0</v>
      </c>
      <c r="F136" s="4">
        <f t="shared" si="7"/>
        <v>0</v>
      </c>
      <c r="G136" s="4">
        <f t="shared" si="8"/>
        <v>0</v>
      </c>
      <c r="H136" s="3">
        <v>52285.45</v>
      </c>
      <c r="I136" s="3">
        <v>3618</v>
      </c>
      <c r="J136" s="3">
        <v>8.5999999999999993E-2</v>
      </c>
      <c r="K136" s="3">
        <v>11</v>
      </c>
      <c r="L136" s="3">
        <v>95.6</v>
      </c>
      <c r="M136" s="3">
        <v>5.17</v>
      </c>
      <c r="N136" s="3">
        <v>1</v>
      </c>
      <c r="O136" s="3">
        <v>4.4000000000000004</v>
      </c>
      <c r="P136" s="3">
        <v>593247.25</v>
      </c>
      <c r="Q136" s="3">
        <v>81240.289999999994</v>
      </c>
    </row>
    <row r="137" spans="1:17">
      <c r="A137" s="3" t="s">
        <v>55</v>
      </c>
      <c r="B137" s="5">
        <v>45748</v>
      </c>
      <c r="C137" s="3" t="s">
        <v>18</v>
      </c>
      <c r="D137" s="3" t="s">
        <v>20</v>
      </c>
      <c r="E137" s="4">
        <f t="shared" si="6"/>
        <v>0</v>
      </c>
      <c r="F137" s="4">
        <f t="shared" si="7"/>
        <v>0</v>
      </c>
      <c r="G137" s="4">
        <f t="shared" si="8"/>
        <v>0</v>
      </c>
      <c r="H137" s="3">
        <v>70366.759999999995</v>
      </c>
      <c r="I137" s="3">
        <v>1963</v>
      </c>
      <c r="J137" s="3">
        <v>0.182</v>
      </c>
      <c r="K137" s="3">
        <v>8</v>
      </c>
      <c r="L137" s="3">
        <v>89.8</v>
      </c>
      <c r="M137" s="3">
        <v>3.2</v>
      </c>
      <c r="N137" s="3">
        <v>0</v>
      </c>
      <c r="O137" s="3">
        <v>4.5999999999999996</v>
      </c>
      <c r="P137" s="3">
        <v>529075.94999999995</v>
      </c>
      <c r="Q137" s="3">
        <v>95978.83</v>
      </c>
    </row>
    <row r="138" spans="1:17">
      <c r="A138" s="3" t="s">
        <v>56</v>
      </c>
      <c r="B138" s="5">
        <v>45658</v>
      </c>
      <c r="C138" s="3" t="s">
        <v>16</v>
      </c>
      <c r="D138" s="3" t="s">
        <v>24</v>
      </c>
      <c r="E138" s="4">
        <f t="shared" si="6"/>
        <v>1</v>
      </c>
      <c r="F138" s="4">
        <f t="shared" si="7"/>
        <v>0</v>
      </c>
      <c r="G138" s="4">
        <f t="shared" si="8"/>
        <v>0</v>
      </c>
      <c r="H138" s="3">
        <v>71320.66</v>
      </c>
      <c r="I138" s="3">
        <v>7888</v>
      </c>
      <c r="J138" s="3">
        <v>4.8000000000000001E-2</v>
      </c>
      <c r="K138" s="3">
        <v>20</v>
      </c>
      <c r="L138" s="3">
        <v>78.099999999999994</v>
      </c>
      <c r="M138" s="3">
        <v>3.4</v>
      </c>
      <c r="N138" s="3">
        <v>0</v>
      </c>
      <c r="O138" s="4">
        <v>0</v>
      </c>
      <c r="P138" s="3">
        <v>633638.03</v>
      </c>
      <c r="Q138" s="3">
        <v>99402.01</v>
      </c>
    </row>
    <row r="139" spans="1:17">
      <c r="A139" s="3" t="s">
        <v>56</v>
      </c>
      <c r="B139" s="5">
        <v>45689</v>
      </c>
      <c r="C139" s="3" t="s">
        <v>16</v>
      </c>
      <c r="D139" s="3" t="s">
        <v>24</v>
      </c>
      <c r="E139" s="4">
        <f t="shared" si="6"/>
        <v>1</v>
      </c>
      <c r="F139" s="4">
        <f t="shared" si="7"/>
        <v>0</v>
      </c>
      <c r="G139" s="4">
        <f t="shared" si="8"/>
        <v>0</v>
      </c>
      <c r="H139" s="3">
        <v>75109.67</v>
      </c>
      <c r="I139" s="3">
        <v>6244</v>
      </c>
      <c r="J139" s="3">
        <v>7.9000000000000001E-2</v>
      </c>
      <c r="K139" s="3">
        <v>15</v>
      </c>
      <c r="L139" s="3">
        <v>96.3</v>
      </c>
      <c r="M139" s="3">
        <v>7.38</v>
      </c>
      <c r="N139" s="3">
        <v>0</v>
      </c>
      <c r="O139" s="3">
        <v>3.7</v>
      </c>
      <c r="P139" s="3">
        <v>743348.84</v>
      </c>
      <c r="Q139" s="3">
        <v>104186.09</v>
      </c>
    </row>
    <row r="140" spans="1:17">
      <c r="A140" s="3" t="s">
        <v>56</v>
      </c>
      <c r="B140" s="5">
        <v>45717</v>
      </c>
      <c r="C140" s="3" t="s">
        <v>16</v>
      </c>
      <c r="D140" s="3" t="s">
        <v>24</v>
      </c>
      <c r="E140" s="4">
        <f t="shared" si="6"/>
        <v>1</v>
      </c>
      <c r="F140" s="4">
        <f t="shared" si="7"/>
        <v>0</v>
      </c>
      <c r="G140" s="4">
        <f t="shared" si="8"/>
        <v>0</v>
      </c>
      <c r="H140" s="3">
        <v>69779</v>
      </c>
      <c r="I140" s="3">
        <v>6544</v>
      </c>
      <c r="J140" s="3">
        <v>0.152</v>
      </c>
      <c r="K140" s="3">
        <v>18</v>
      </c>
      <c r="L140" s="3">
        <v>90.2</v>
      </c>
      <c r="M140" s="3">
        <v>0.85</v>
      </c>
      <c r="N140" s="3">
        <v>1</v>
      </c>
      <c r="O140" s="3">
        <v>3.3</v>
      </c>
      <c r="P140" s="3">
        <v>758827.64</v>
      </c>
      <c r="Q140" s="3">
        <v>161439.48000000001</v>
      </c>
    </row>
    <row r="141" spans="1:17">
      <c r="A141" s="3" t="s">
        <v>56</v>
      </c>
      <c r="B141" s="5">
        <v>45748</v>
      </c>
      <c r="C141" s="3" t="s">
        <v>16</v>
      </c>
      <c r="D141" s="3" t="s">
        <v>24</v>
      </c>
      <c r="E141" s="4">
        <f t="shared" si="6"/>
        <v>1</v>
      </c>
      <c r="F141" s="4">
        <f t="shared" si="7"/>
        <v>0</v>
      </c>
      <c r="G141" s="4">
        <f t="shared" si="8"/>
        <v>0</v>
      </c>
      <c r="H141" s="3">
        <v>44211.95</v>
      </c>
      <c r="I141" s="3">
        <v>5465</v>
      </c>
      <c r="J141" s="3">
        <v>0.187</v>
      </c>
      <c r="K141" s="3">
        <v>12</v>
      </c>
      <c r="L141" s="3">
        <v>90</v>
      </c>
      <c r="M141" s="3">
        <v>2.89</v>
      </c>
      <c r="N141" s="3">
        <v>0</v>
      </c>
      <c r="O141" s="3">
        <v>3.6</v>
      </c>
      <c r="P141" s="3">
        <v>646559.71</v>
      </c>
      <c r="Q141" s="3">
        <v>97981.75</v>
      </c>
    </row>
    <row r="142" spans="1:17">
      <c r="A142" s="3" t="s">
        <v>57</v>
      </c>
      <c r="B142" s="5">
        <v>45658</v>
      </c>
      <c r="C142" s="3" t="s">
        <v>18</v>
      </c>
      <c r="D142" s="3" t="s">
        <v>27</v>
      </c>
      <c r="E142" s="4">
        <f t="shared" si="6"/>
        <v>0</v>
      </c>
      <c r="F142" s="4">
        <f t="shared" si="7"/>
        <v>0</v>
      </c>
      <c r="G142" s="4">
        <f t="shared" si="8"/>
        <v>1</v>
      </c>
      <c r="H142" s="3">
        <v>51430.31</v>
      </c>
      <c r="I142" s="3">
        <v>6427</v>
      </c>
      <c r="J142" s="3">
        <v>0.23400000000000001</v>
      </c>
      <c r="K142" s="3">
        <v>14</v>
      </c>
      <c r="L142" s="3">
        <v>88.8</v>
      </c>
      <c r="M142" s="3">
        <v>0.77</v>
      </c>
      <c r="N142" s="3">
        <v>0</v>
      </c>
      <c r="O142" s="3">
        <v>4.0999999999999996</v>
      </c>
      <c r="P142" s="3">
        <v>715890.53</v>
      </c>
      <c r="Q142" s="3">
        <v>109032.15</v>
      </c>
    </row>
    <row r="143" spans="1:17">
      <c r="A143" s="3" t="s">
        <v>57</v>
      </c>
      <c r="B143" s="5">
        <v>45689</v>
      </c>
      <c r="C143" s="3" t="s">
        <v>18</v>
      </c>
      <c r="D143" s="3" t="s">
        <v>27</v>
      </c>
      <c r="E143" s="4">
        <f t="shared" si="6"/>
        <v>0</v>
      </c>
      <c r="F143" s="4">
        <f t="shared" si="7"/>
        <v>0</v>
      </c>
      <c r="G143" s="4">
        <f t="shared" si="8"/>
        <v>1</v>
      </c>
      <c r="H143" s="3">
        <v>45706.49</v>
      </c>
      <c r="I143" s="3">
        <v>6704</v>
      </c>
      <c r="J143" s="3">
        <v>3.7999999999999999E-2</v>
      </c>
      <c r="K143" s="3">
        <v>15</v>
      </c>
      <c r="L143" s="3">
        <v>94.2</v>
      </c>
      <c r="M143" s="3">
        <v>2.92</v>
      </c>
      <c r="N143" s="3">
        <v>0</v>
      </c>
      <c r="O143" s="3">
        <v>4.2</v>
      </c>
      <c r="P143" s="3">
        <v>715097.57</v>
      </c>
      <c r="Q143" s="3">
        <v>151875.85999999999</v>
      </c>
    </row>
    <row r="144" spans="1:17">
      <c r="A144" s="3" t="s">
        <v>57</v>
      </c>
      <c r="B144" s="5">
        <v>45717</v>
      </c>
      <c r="C144" s="3" t="s">
        <v>18</v>
      </c>
      <c r="D144" s="3" t="s">
        <v>27</v>
      </c>
      <c r="E144" s="4">
        <f t="shared" si="6"/>
        <v>0</v>
      </c>
      <c r="F144" s="4">
        <f t="shared" si="7"/>
        <v>0</v>
      </c>
      <c r="G144" s="4">
        <f t="shared" si="8"/>
        <v>1</v>
      </c>
      <c r="H144" s="3">
        <v>44034.6</v>
      </c>
      <c r="I144" s="3">
        <v>5645</v>
      </c>
      <c r="J144" s="3">
        <v>6.9000000000000006E-2</v>
      </c>
      <c r="K144" s="3">
        <v>18</v>
      </c>
      <c r="L144" s="3">
        <v>88.5</v>
      </c>
      <c r="M144" s="3">
        <v>3.07</v>
      </c>
      <c r="N144" s="3">
        <v>0</v>
      </c>
      <c r="O144" s="3">
        <v>3.8</v>
      </c>
      <c r="P144" s="3">
        <v>682639.28</v>
      </c>
      <c r="Q144" s="3">
        <v>77557.53</v>
      </c>
    </row>
    <row r="145" spans="1:17">
      <c r="A145" s="3" t="s">
        <v>57</v>
      </c>
      <c r="B145" s="5">
        <v>45748</v>
      </c>
      <c r="C145" s="3" t="s">
        <v>18</v>
      </c>
      <c r="D145" s="3" t="s">
        <v>27</v>
      </c>
      <c r="E145" s="4">
        <f t="shared" si="6"/>
        <v>0</v>
      </c>
      <c r="F145" s="4">
        <f t="shared" si="7"/>
        <v>0</v>
      </c>
      <c r="G145" s="4">
        <f t="shared" si="8"/>
        <v>1</v>
      </c>
      <c r="H145" s="3">
        <v>50198.12</v>
      </c>
      <c r="I145" s="3">
        <v>6089</v>
      </c>
      <c r="J145" s="3">
        <v>0.182</v>
      </c>
      <c r="K145" s="3">
        <v>19</v>
      </c>
      <c r="L145" s="3">
        <v>94</v>
      </c>
      <c r="M145" s="3">
        <v>9.6999999999999993</v>
      </c>
      <c r="N145" s="3">
        <v>0</v>
      </c>
      <c r="O145" s="3">
        <v>3.9</v>
      </c>
      <c r="P145" s="3">
        <v>695098.51</v>
      </c>
      <c r="Q145" s="3">
        <v>108192.75</v>
      </c>
    </row>
    <row r="146" spans="1:17">
      <c r="A146" s="3" t="s">
        <v>58</v>
      </c>
      <c r="B146" s="5">
        <v>45658</v>
      </c>
      <c r="C146" s="3" t="s">
        <v>16</v>
      </c>
      <c r="D146" s="3" t="s">
        <v>20</v>
      </c>
      <c r="E146" s="4">
        <f t="shared" si="6"/>
        <v>0</v>
      </c>
      <c r="F146" s="4">
        <f t="shared" si="7"/>
        <v>0</v>
      </c>
      <c r="G146" s="4">
        <f t="shared" si="8"/>
        <v>0</v>
      </c>
      <c r="H146" s="3">
        <v>70488.2</v>
      </c>
      <c r="I146" s="3">
        <v>4312</v>
      </c>
      <c r="J146" s="3">
        <v>0.16900000000000001</v>
      </c>
      <c r="K146" s="3">
        <v>12</v>
      </c>
      <c r="L146" s="3">
        <v>90.2</v>
      </c>
      <c r="M146" s="3">
        <v>3.71</v>
      </c>
      <c r="N146" s="3">
        <v>0</v>
      </c>
      <c r="O146" s="3">
        <v>3.2</v>
      </c>
      <c r="P146" s="3">
        <v>577732.56999999995</v>
      </c>
      <c r="Q146" s="3">
        <v>93804.27</v>
      </c>
    </row>
    <row r="147" spans="1:17">
      <c r="A147" s="3" t="s">
        <v>58</v>
      </c>
      <c r="B147" s="5">
        <v>45689</v>
      </c>
      <c r="C147" s="3" t="s">
        <v>16</v>
      </c>
      <c r="D147" s="3" t="s">
        <v>20</v>
      </c>
      <c r="E147" s="4">
        <f t="shared" si="6"/>
        <v>0</v>
      </c>
      <c r="F147" s="4">
        <f t="shared" si="7"/>
        <v>0</v>
      </c>
      <c r="G147" s="4">
        <f t="shared" si="8"/>
        <v>0</v>
      </c>
      <c r="H147" s="3">
        <v>50909.27</v>
      </c>
      <c r="I147" s="3">
        <v>3152</v>
      </c>
      <c r="J147" s="3">
        <v>0.06</v>
      </c>
      <c r="K147" s="3">
        <v>13</v>
      </c>
      <c r="L147" s="3">
        <v>93.7</v>
      </c>
      <c r="M147" s="3">
        <v>10.79</v>
      </c>
      <c r="N147" s="3">
        <v>0</v>
      </c>
      <c r="O147" s="3">
        <v>3.5</v>
      </c>
      <c r="P147" s="3">
        <v>537058.32999999996</v>
      </c>
      <c r="Q147" s="3">
        <v>93555.71</v>
      </c>
    </row>
    <row r="148" spans="1:17">
      <c r="A148" s="3" t="s">
        <v>58</v>
      </c>
      <c r="B148" s="5">
        <v>45717</v>
      </c>
      <c r="C148" s="3" t="s">
        <v>16</v>
      </c>
      <c r="D148" s="3" t="s">
        <v>20</v>
      </c>
      <c r="E148" s="4">
        <f t="shared" si="6"/>
        <v>0</v>
      </c>
      <c r="F148" s="4">
        <f t="shared" si="7"/>
        <v>0</v>
      </c>
      <c r="G148" s="4">
        <f t="shared" si="8"/>
        <v>0</v>
      </c>
      <c r="H148" s="3">
        <v>53351.7</v>
      </c>
      <c r="I148" s="3">
        <v>4259</v>
      </c>
      <c r="J148" s="3">
        <v>0.156</v>
      </c>
      <c r="K148" s="3">
        <v>15</v>
      </c>
      <c r="L148" s="3">
        <v>93.7</v>
      </c>
      <c r="M148" s="3">
        <v>6.03</v>
      </c>
      <c r="N148" s="3">
        <v>0</v>
      </c>
      <c r="O148" s="3">
        <v>3.4</v>
      </c>
      <c r="P148" s="3">
        <v>601568.87</v>
      </c>
      <c r="Q148" s="3">
        <v>91634.82</v>
      </c>
    </row>
    <row r="149" spans="1:17">
      <c r="A149" s="3" t="s">
        <v>58</v>
      </c>
      <c r="B149" s="5">
        <v>45748</v>
      </c>
      <c r="C149" s="3" t="s">
        <v>16</v>
      </c>
      <c r="D149" s="3" t="s">
        <v>20</v>
      </c>
      <c r="E149" s="4">
        <f t="shared" si="6"/>
        <v>0</v>
      </c>
      <c r="F149" s="4">
        <f t="shared" si="7"/>
        <v>0</v>
      </c>
      <c r="G149" s="4">
        <f t="shared" si="8"/>
        <v>0</v>
      </c>
      <c r="H149" s="3">
        <v>60322.400000000001</v>
      </c>
      <c r="I149" s="3">
        <v>3350</v>
      </c>
      <c r="J149" s="3">
        <v>0.108</v>
      </c>
      <c r="K149" s="3">
        <v>12</v>
      </c>
      <c r="L149" s="3">
        <v>89.4</v>
      </c>
      <c r="M149" s="3">
        <v>4.92</v>
      </c>
      <c r="N149" s="3">
        <v>0</v>
      </c>
      <c r="O149" s="3">
        <v>3.4</v>
      </c>
      <c r="P149" s="3">
        <v>570964.84</v>
      </c>
      <c r="Q149" s="3">
        <v>81331.070000000007</v>
      </c>
    </row>
    <row r="150" spans="1:17">
      <c r="A150" s="3" t="s">
        <v>59</v>
      </c>
      <c r="B150" s="5">
        <v>45658</v>
      </c>
      <c r="C150" s="3" t="s">
        <v>28</v>
      </c>
      <c r="D150" s="3" t="s">
        <v>24</v>
      </c>
      <c r="E150" s="4">
        <f t="shared" si="6"/>
        <v>1</v>
      </c>
      <c r="F150" s="4">
        <f t="shared" si="7"/>
        <v>0</v>
      </c>
      <c r="G150" s="4">
        <f t="shared" si="8"/>
        <v>0</v>
      </c>
      <c r="H150" s="3">
        <v>51575.68</v>
      </c>
      <c r="I150" s="3">
        <v>5329</v>
      </c>
      <c r="J150" s="3">
        <v>4.7E-2</v>
      </c>
      <c r="K150" s="3">
        <v>17</v>
      </c>
      <c r="L150" s="3">
        <v>88.1</v>
      </c>
      <c r="M150" s="3">
        <v>19.78</v>
      </c>
      <c r="N150" s="3">
        <v>0</v>
      </c>
      <c r="O150" s="3">
        <v>3.8</v>
      </c>
      <c r="P150" s="3">
        <v>614024.91</v>
      </c>
      <c r="Q150" s="3">
        <v>84828.93</v>
      </c>
    </row>
    <row r="151" spans="1:17">
      <c r="A151" s="3" t="s">
        <v>59</v>
      </c>
      <c r="B151" s="5">
        <v>45689</v>
      </c>
      <c r="C151" s="3" t="s">
        <v>28</v>
      </c>
      <c r="D151" s="3" t="s">
        <v>24</v>
      </c>
      <c r="E151" s="4">
        <f t="shared" si="6"/>
        <v>1</v>
      </c>
      <c r="F151" s="4">
        <f t="shared" si="7"/>
        <v>0</v>
      </c>
      <c r="G151" s="4">
        <f t="shared" si="8"/>
        <v>0</v>
      </c>
      <c r="H151" s="3">
        <v>43319.94</v>
      </c>
      <c r="I151" s="3">
        <v>6551</v>
      </c>
      <c r="J151" s="3">
        <v>4.3999999999999997E-2</v>
      </c>
      <c r="K151" s="3">
        <v>13</v>
      </c>
      <c r="L151" s="3">
        <v>99</v>
      </c>
      <c r="M151" s="3">
        <v>5.45</v>
      </c>
      <c r="N151" s="3">
        <v>0</v>
      </c>
      <c r="O151" s="3">
        <v>4.0999999999999996</v>
      </c>
      <c r="P151" s="3">
        <v>712868.35</v>
      </c>
      <c r="Q151" s="3">
        <v>133650.51</v>
      </c>
    </row>
    <row r="152" spans="1:17">
      <c r="A152" s="3" t="s">
        <v>59</v>
      </c>
      <c r="B152" s="5">
        <v>45717</v>
      </c>
      <c r="C152" s="3" t="s">
        <v>28</v>
      </c>
      <c r="D152" s="3" t="s">
        <v>24</v>
      </c>
      <c r="E152" s="4">
        <f t="shared" si="6"/>
        <v>1</v>
      </c>
      <c r="F152" s="4">
        <f t="shared" si="7"/>
        <v>0</v>
      </c>
      <c r="G152" s="4">
        <f t="shared" si="8"/>
        <v>0</v>
      </c>
      <c r="H152" s="3">
        <v>47093.55</v>
      </c>
      <c r="I152" s="3">
        <v>5550</v>
      </c>
      <c r="J152" s="3">
        <v>0.1</v>
      </c>
      <c r="K152" s="3">
        <v>12</v>
      </c>
      <c r="L152" s="3">
        <v>95</v>
      </c>
      <c r="M152" s="3">
        <v>2.33</v>
      </c>
      <c r="N152" s="3">
        <v>1</v>
      </c>
      <c r="O152" s="3">
        <v>3.7</v>
      </c>
      <c r="P152" s="3">
        <v>696744.15</v>
      </c>
      <c r="Q152" s="3">
        <v>152230.09</v>
      </c>
    </row>
    <row r="153" spans="1:17">
      <c r="A153" s="3" t="s">
        <v>59</v>
      </c>
      <c r="B153" s="5">
        <v>45748</v>
      </c>
      <c r="C153" s="3" t="s">
        <v>28</v>
      </c>
      <c r="D153" s="3" t="s">
        <v>24</v>
      </c>
      <c r="E153" s="4">
        <f t="shared" si="6"/>
        <v>1</v>
      </c>
      <c r="F153" s="4">
        <f t="shared" si="7"/>
        <v>0</v>
      </c>
      <c r="G153" s="4">
        <f t="shared" si="8"/>
        <v>0</v>
      </c>
      <c r="H153" s="3">
        <v>71855.09</v>
      </c>
      <c r="I153" s="3">
        <v>5911</v>
      </c>
      <c r="J153" s="3">
        <v>0.19700000000000001</v>
      </c>
      <c r="K153" s="3">
        <v>15</v>
      </c>
      <c r="L153" s="3">
        <v>94.3</v>
      </c>
      <c r="M153" s="3">
        <v>3.55</v>
      </c>
      <c r="N153" s="3">
        <v>0</v>
      </c>
      <c r="O153" s="3">
        <v>4.0999999999999996</v>
      </c>
      <c r="P153" s="3">
        <v>725847.99</v>
      </c>
      <c r="Q153" s="3">
        <v>122698.73</v>
      </c>
    </row>
    <row r="154" spans="1:17">
      <c r="A154" s="3" t="s">
        <v>60</v>
      </c>
      <c r="B154" s="5">
        <v>45658</v>
      </c>
      <c r="C154" s="3" t="s">
        <v>18</v>
      </c>
      <c r="D154" s="3" t="s">
        <v>15</v>
      </c>
      <c r="E154" s="4">
        <f t="shared" si="6"/>
        <v>0</v>
      </c>
      <c r="F154" s="4">
        <f t="shared" si="7"/>
        <v>1</v>
      </c>
      <c r="G154" s="4">
        <f t="shared" si="8"/>
        <v>0</v>
      </c>
      <c r="H154" s="3">
        <v>75645.23</v>
      </c>
      <c r="I154" s="3">
        <v>9674</v>
      </c>
      <c r="J154" s="3">
        <v>0.23400000000000001</v>
      </c>
      <c r="K154" s="3">
        <v>21</v>
      </c>
      <c r="L154" s="3">
        <v>87.4</v>
      </c>
      <c r="M154" s="3">
        <v>0.2</v>
      </c>
      <c r="N154" s="3">
        <v>0</v>
      </c>
      <c r="O154" s="3">
        <v>4.5</v>
      </c>
      <c r="P154" s="3">
        <v>785028.25</v>
      </c>
      <c r="Q154" s="3">
        <v>110726.44</v>
      </c>
    </row>
    <row r="155" spans="1:17">
      <c r="A155" s="3" t="s">
        <v>60</v>
      </c>
      <c r="B155" s="5">
        <v>45689</v>
      </c>
      <c r="C155" s="3" t="s">
        <v>18</v>
      </c>
      <c r="D155" s="3" t="s">
        <v>15</v>
      </c>
      <c r="E155" s="4">
        <f t="shared" si="6"/>
        <v>0</v>
      </c>
      <c r="F155" s="4">
        <f t="shared" si="7"/>
        <v>1</v>
      </c>
      <c r="G155" s="4">
        <f t="shared" si="8"/>
        <v>0</v>
      </c>
      <c r="H155" s="3">
        <v>64374.75</v>
      </c>
      <c r="I155" s="3">
        <v>6740</v>
      </c>
      <c r="J155" s="3">
        <v>0.16900000000000001</v>
      </c>
      <c r="K155" s="3">
        <v>18</v>
      </c>
      <c r="L155" s="3">
        <v>87</v>
      </c>
      <c r="M155" s="3">
        <v>2.09</v>
      </c>
      <c r="N155" s="3">
        <v>0</v>
      </c>
      <c r="O155" s="3">
        <v>4.2</v>
      </c>
      <c r="P155" s="3">
        <v>698492.67</v>
      </c>
      <c r="Q155" s="3">
        <v>117319.32</v>
      </c>
    </row>
    <row r="156" spans="1:17">
      <c r="A156" s="3" t="s">
        <v>60</v>
      </c>
      <c r="B156" s="5">
        <v>45717</v>
      </c>
      <c r="C156" s="3" t="s">
        <v>18</v>
      </c>
      <c r="D156" s="3" t="s">
        <v>15</v>
      </c>
      <c r="E156" s="4">
        <f t="shared" si="6"/>
        <v>0</v>
      </c>
      <c r="F156" s="4">
        <f t="shared" si="7"/>
        <v>1</v>
      </c>
      <c r="G156" s="4">
        <f t="shared" si="8"/>
        <v>0</v>
      </c>
      <c r="H156" s="3">
        <v>61433.84</v>
      </c>
      <c r="I156" s="3">
        <v>7745</v>
      </c>
      <c r="J156" s="3">
        <v>0.18</v>
      </c>
      <c r="K156" s="3">
        <v>16</v>
      </c>
      <c r="L156" s="3">
        <v>90.5</v>
      </c>
      <c r="M156" s="3">
        <v>2.2599999999999998</v>
      </c>
      <c r="N156" s="3">
        <v>0</v>
      </c>
      <c r="O156" s="3">
        <v>4.2</v>
      </c>
      <c r="P156" s="3">
        <v>685830.24</v>
      </c>
      <c r="Q156" s="3">
        <v>128736.18</v>
      </c>
    </row>
    <row r="157" spans="1:17">
      <c r="A157" s="3" t="s">
        <v>60</v>
      </c>
      <c r="B157" s="5">
        <v>45748</v>
      </c>
      <c r="C157" s="3" t="s">
        <v>18</v>
      </c>
      <c r="D157" s="3" t="s">
        <v>15</v>
      </c>
      <c r="E157" s="4">
        <f t="shared" si="6"/>
        <v>0</v>
      </c>
      <c r="F157" s="4">
        <f t="shared" si="7"/>
        <v>1</v>
      </c>
      <c r="G157" s="4">
        <f t="shared" si="8"/>
        <v>0</v>
      </c>
      <c r="H157" s="3">
        <v>42698.14</v>
      </c>
      <c r="I157" s="3">
        <v>7693</v>
      </c>
      <c r="J157" s="3">
        <v>0.187</v>
      </c>
      <c r="K157" s="3">
        <v>19</v>
      </c>
      <c r="L157" s="3">
        <v>90.1</v>
      </c>
      <c r="M157" s="3">
        <v>0.44</v>
      </c>
      <c r="N157" s="3">
        <v>0</v>
      </c>
      <c r="O157" s="3">
        <v>4.4000000000000004</v>
      </c>
      <c r="P157" s="3">
        <v>702318.94</v>
      </c>
      <c r="Q157" s="3">
        <v>112829.29</v>
      </c>
    </row>
    <row r="158" spans="1:17">
      <c r="A158" s="3" t="s">
        <v>61</v>
      </c>
      <c r="B158" s="5">
        <v>45658</v>
      </c>
      <c r="C158" s="3" t="s">
        <v>28</v>
      </c>
      <c r="D158" s="3" t="s">
        <v>20</v>
      </c>
      <c r="E158" s="4">
        <f t="shared" si="6"/>
        <v>0</v>
      </c>
      <c r="F158" s="4">
        <f t="shared" si="7"/>
        <v>0</v>
      </c>
      <c r="G158" s="4">
        <f t="shared" si="8"/>
        <v>0</v>
      </c>
      <c r="H158" s="3">
        <v>86883.31</v>
      </c>
      <c r="I158" s="3">
        <v>6424</v>
      </c>
      <c r="J158" s="3">
        <v>5.7000000000000002E-2</v>
      </c>
      <c r="K158" s="3">
        <v>19</v>
      </c>
      <c r="L158" s="3">
        <v>85.2</v>
      </c>
      <c r="M158" s="3">
        <v>3.08</v>
      </c>
      <c r="N158" s="3">
        <v>0</v>
      </c>
      <c r="O158" s="3">
        <v>3.9</v>
      </c>
      <c r="P158" s="3">
        <v>700078.32</v>
      </c>
      <c r="Q158" s="3">
        <v>123707.58</v>
      </c>
    </row>
    <row r="159" spans="1:17">
      <c r="A159" s="3" t="s">
        <v>61</v>
      </c>
      <c r="B159" s="5">
        <v>45689</v>
      </c>
      <c r="C159" s="3" t="s">
        <v>28</v>
      </c>
      <c r="D159" s="3" t="s">
        <v>20</v>
      </c>
      <c r="E159" s="4">
        <f t="shared" si="6"/>
        <v>0</v>
      </c>
      <c r="F159" s="4">
        <f t="shared" si="7"/>
        <v>0</v>
      </c>
      <c r="G159" s="4">
        <f t="shared" si="8"/>
        <v>0</v>
      </c>
      <c r="H159" s="3">
        <v>41863.08</v>
      </c>
      <c r="I159" s="3">
        <v>5400</v>
      </c>
      <c r="J159" s="3">
        <v>0.114</v>
      </c>
      <c r="K159" s="3">
        <v>11</v>
      </c>
      <c r="L159" s="3">
        <v>91.6</v>
      </c>
      <c r="M159" s="3">
        <v>7.99</v>
      </c>
      <c r="N159" s="3">
        <v>0</v>
      </c>
      <c r="O159" s="3">
        <v>3</v>
      </c>
      <c r="P159" s="3">
        <v>602002.31999999995</v>
      </c>
      <c r="Q159" s="3">
        <v>110453.28</v>
      </c>
    </row>
    <row r="160" spans="1:17">
      <c r="A160" s="3" t="s">
        <v>61</v>
      </c>
      <c r="B160" s="5">
        <v>45717</v>
      </c>
      <c r="C160" s="3" t="s">
        <v>28</v>
      </c>
      <c r="D160" s="3" t="s">
        <v>20</v>
      </c>
      <c r="E160" s="4">
        <f t="shared" si="6"/>
        <v>0</v>
      </c>
      <c r="F160" s="4">
        <f t="shared" si="7"/>
        <v>0</v>
      </c>
      <c r="G160" s="4">
        <f t="shared" si="8"/>
        <v>0</v>
      </c>
      <c r="H160" s="3">
        <v>56918.16</v>
      </c>
      <c r="I160" s="3">
        <v>7015</v>
      </c>
      <c r="J160" s="3">
        <v>0.158</v>
      </c>
      <c r="K160" s="3">
        <v>18</v>
      </c>
      <c r="L160" s="3">
        <v>74.2</v>
      </c>
      <c r="M160" s="3">
        <v>0.2</v>
      </c>
      <c r="N160" s="3">
        <v>0</v>
      </c>
      <c r="O160" s="3">
        <v>3.4</v>
      </c>
      <c r="P160" s="3">
        <v>724216.07</v>
      </c>
      <c r="Q160" s="3">
        <v>100627.56</v>
      </c>
    </row>
    <row r="161" spans="1:17">
      <c r="A161" s="3" t="s">
        <v>61</v>
      </c>
      <c r="B161" s="5">
        <v>45748</v>
      </c>
      <c r="C161" s="3" t="s">
        <v>28</v>
      </c>
      <c r="D161" s="3" t="s">
        <v>20</v>
      </c>
      <c r="E161" s="4">
        <f t="shared" si="6"/>
        <v>0</v>
      </c>
      <c r="F161" s="4">
        <f t="shared" si="7"/>
        <v>0</v>
      </c>
      <c r="G161" s="4">
        <f t="shared" si="8"/>
        <v>0</v>
      </c>
      <c r="H161" s="3">
        <v>23254.57</v>
      </c>
      <c r="I161" s="3">
        <v>3847</v>
      </c>
      <c r="J161" s="3">
        <v>0.159</v>
      </c>
      <c r="K161" s="3">
        <v>12</v>
      </c>
      <c r="L161" s="3">
        <v>93</v>
      </c>
      <c r="M161" s="3">
        <v>5.46</v>
      </c>
      <c r="N161" s="3">
        <v>0</v>
      </c>
      <c r="O161" s="3">
        <v>3.3</v>
      </c>
      <c r="P161" s="3">
        <v>620973.03</v>
      </c>
      <c r="Q161" s="3">
        <v>72303.850000000006</v>
      </c>
    </row>
    <row r="162" spans="1:17">
      <c r="A162" s="3" t="s">
        <v>62</v>
      </c>
      <c r="B162" s="5">
        <v>45658</v>
      </c>
      <c r="C162" s="3" t="s">
        <v>18</v>
      </c>
      <c r="D162" s="3" t="s">
        <v>24</v>
      </c>
      <c r="E162" s="4">
        <f t="shared" si="6"/>
        <v>1</v>
      </c>
      <c r="F162" s="4">
        <f t="shared" si="7"/>
        <v>0</v>
      </c>
      <c r="G162" s="4">
        <f t="shared" si="8"/>
        <v>0</v>
      </c>
      <c r="H162" s="3">
        <v>41443.410000000003</v>
      </c>
      <c r="I162" s="3">
        <v>7455</v>
      </c>
      <c r="J162" s="3">
        <v>0.17499999999999999</v>
      </c>
      <c r="K162" s="3">
        <v>16</v>
      </c>
      <c r="L162" s="3">
        <v>90.1</v>
      </c>
      <c r="M162" s="3">
        <v>4.05</v>
      </c>
      <c r="N162" s="3">
        <v>0</v>
      </c>
      <c r="O162" s="3">
        <v>4</v>
      </c>
      <c r="P162" s="3">
        <v>650480.06000000006</v>
      </c>
      <c r="Q162" s="3">
        <v>109012.07</v>
      </c>
    </row>
    <row r="163" spans="1:17">
      <c r="A163" s="3" t="s">
        <v>62</v>
      </c>
      <c r="B163" s="5">
        <v>45689</v>
      </c>
      <c r="C163" s="3" t="s">
        <v>18</v>
      </c>
      <c r="D163" s="3" t="s">
        <v>24</v>
      </c>
      <c r="E163" s="4">
        <f t="shared" si="6"/>
        <v>1</v>
      </c>
      <c r="F163" s="4">
        <f t="shared" si="7"/>
        <v>0</v>
      </c>
      <c r="G163" s="4">
        <f t="shared" si="8"/>
        <v>0</v>
      </c>
      <c r="H163" s="3">
        <v>48438.85</v>
      </c>
      <c r="I163" s="3">
        <v>6992</v>
      </c>
      <c r="J163" s="3">
        <v>3.4000000000000002E-2</v>
      </c>
      <c r="K163" s="3">
        <v>20</v>
      </c>
      <c r="L163" s="3">
        <v>91</v>
      </c>
      <c r="M163" s="3">
        <v>4.3600000000000003</v>
      </c>
      <c r="N163" s="3">
        <v>0</v>
      </c>
      <c r="O163" s="3">
        <v>4.2</v>
      </c>
      <c r="P163" s="3">
        <v>778298.88</v>
      </c>
      <c r="Q163" s="3">
        <v>130076.72</v>
      </c>
    </row>
    <row r="164" spans="1:17">
      <c r="A164" s="3" t="s">
        <v>62</v>
      </c>
      <c r="B164" s="5">
        <v>45717</v>
      </c>
      <c r="C164" s="3" t="s">
        <v>18</v>
      </c>
      <c r="D164" s="3" t="s">
        <v>24</v>
      </c>
      <c r="E164" s="4">
        <f t="shared" si="6"/>
        <v>1</v>
      </c>
      <c r="F164" s="4">
        <f t="shared" si="7"/>
        <v>0</v>
      </c>
      <c r="G164" s="4">
        <f t="shared" si="8"/>
        <v>0</v>
      </c>
      <c r="H164" s="3">
        <v>57143.3</v>
      </c>
      <c r="I164" s="3">
        <v>8038</v>
      </c>
      <c r="J164" s="3">
        <v>0.193</v>
      </c>
      <c r="K164" s="3">
        <v>17</v>
      </c>
      <c r="L164" s="3">
        <v>72.599999999999994</v>
      </c>
      <c r="M164" s="4">
        <v>0</v>
      </c>
      <c r="N164" s="3">
        <v>0</v>
      </c>
      <c r="O164" s="3">
        <v>4.2</v>
      </c>
      <c r="P164" s="3">
        <v>677096.71</v>
      </c>
      <c r="Q164" s="3">
        <v>97174.11</v>
      </c>
    </row>
    <row r="165" spans="1:17">
      <c r="A165" s="3" t="s">
        <v>62</v>
      </c>
      <c r="B165" s="5">
        <v>45748</v>
      </c>
      <c r="C165" s="3" t="s">
        <v>18</v>
      </c>
      <c r="D165" s="3" t="s">
        <v>24</v>
      </c>
      <c r="E165" s="4">
        <f t="shared" si="6"/>
        <v>1</v>
      </c>
      <c r="F165" s="4">
        <f t="shared" si="7"/>
        <v>0</v>
      </c>
      <c r="G165" s="4">
        <f t="shared" si="8"/>
        <v>0</v>
      </c>
      <c r="H165" s="3">
        <v>66870.62</v>
      </c>
      <c r="I165" s="3">
        <v>6055</v>
      </c>
      <c r="J165" s="3">
        <v>7.4999999999999997E-2</v>
      </c>
      <c r="K165" s="3">
        <v>19</v>
      </c>
      <c r="L165" s="3">
        <v>93.8</v>
      </c>
      <c r="M165" s="3">
        <v>0.54</v>
      </c>
      <c r="N165" s="3">
        <v>0</v>
      </c>
      <c r="O165" s="3">
        <v>4.3</v>
      </c>
      <c r="P165" s="3">
        <v>692008.64</v>
      </c>
      <c r="Q165" s="3">
        <v>116337.87</v>
      </c>
    </row>
    <row r="166" spans="1:17">
      <c r="A166" s="3" t="s">
        <v>63</v>
      </c>
      <c r="B166" s="5">
        <v>45658</v>
      </c>
      <c r="C166" s="3" t="s">
        <v>28</v>
      </c>
      <c r="D166" s="3" t="s">
        <v>20</v>
      </c>
      <c r="E166" s="4">
        <f t="shared" si="6"/>
        <v>0</v>
      </c>
      <c r="F166" s="4">
        <f t="shared" si="7"/>
        <v>0</v>
      </c>
      <c r="G166" s="4">
        <f t="shared" si="8"/>
        <v>0</v>
      </c>
      <c r="H166" s="3">
        <v>72150.53</v>
      </c>
      <c r="I166" s="3">
        <v>9323</v>
      </c>
      <c r="J166" s="3">
        <v>0.157</v>
      </c>
      <c r="K166" s="3">
        <v>22</v>
      </c>
      <c r="L166" s="3">
        <v>82.9</v>
      </c>
      <c r="M166" s="3">
        <v>11.37</v>
      </c>
      <c r="N166" s="3">
        <v>1</v>
      </c>
      <c r="O166" s="3">
        <v>4.3</v>
      </c>
      <c r="P166" s="3">
        <v>825797.91</v>
      </c>
      <c r="Q166" s="3">
        <v>130945.24</v>
      </c>
    </row>
    <row r="167" spans="1:17">
      <c r="A167" s="3" t="s">
        <v>63</v>
      </c>
      <c r="B167" s="5">
        <v>45689</v>
      </c>
      <c r="C167" s="3" t="s">
        <v>28</v>
      </c>
      <c r="D167" s="3" t="s">
        <v>20</v>
      </c>
      <c r="E167" s="4">
        <f t="shared" si="6"/>
        <v>0</v>
      </c>
      <c r="F167" s="4">
        <f t="shared" si="7"/>
        <v>0</v>
      </c>
      <c r="G167" s="4">
        <f t="shared" si="8"/>
        <v>0</v>
      </c>
      <c r="H167" s="3">
        <v>35303.300000000003</v>
      </c>
      <c r="I167" s="3">
        <v>8789</v>
      </c>
      <c r="J167" s="3">
        <v>0.123</v>
      </c>
      <c r="K167" s="3">
        <v>22</v>
      </c>
      <c r="L167" s="3">
        <v>86.1</v>
      </c>
      <c r="M167" s="3">
        <v>9.43</v>
      </c>
      <c r="N167" s="3">
        <v>0</v>
      </c>
      <c r="O167" s="3">
        <v>4.2</v>
      </c>
      <c r="P167" s="3">
        <v>706285.52</v>
      </c>
      <c r="Q167" s="3">
        <v>138014.72</v>
      </c>
    </row>
    <row r="168" spans="1:17">
      <c r="A168" s="3" t="s">
        <v>63</v>
      </c>
      <c r="B168" s="5">
        <v>45717</v>
      </c>
      <c r="C168" s="3" t="s">
        <v>28</v>
      </c>
      <c r="D168" s="3" t="s">
        <v>20</v>
      </c>
      <c r="E168" s="4">
        <f t="shared" si="6"/>
        <v>0</v>
      </c>
      <c r="F168" s="4">
        <f t="shared" si="7"/>
        <v>0</v>
      </c>
      <c r="G168" s="4">
        <f t="shared" si="8"/>
        <v>0</v>
      </c>
      <c r="H168" s="3">
        <v>30301.86</v>
      </c>
      <c r="I168" s="3">
        <v>6939</v>
      </c>
      <c r="J168" s="3">
        <v>0.09</v>
      </c>
      <c r="K168" s="3">
        <v>16</v>
      </c>
      <c r="L168" s="3">
        <v>90.3</v>
      </c>
      <c r="M168" s="3">
        <v>3.49</v>
      </c>
      <c r="N168" s="3">
        <v>0</v>
      </c>
      <c r="O168" s="3">
        <v>4</v>
      </c>
      <c r="P168" s="3">
        <v>665534.69999999995</v>
      </c>
      <c r="Q168" s="3">
        <v>113167.73</v>
      </c>
    </row>
    <row r="169" spans="1:17">
      <c r="A169" s="3" t="s">
        <v>63</v>
      </c>
      <c r="B169" s="5">
        <v>45748</v>
      </c>
      <c r="C169" s="3" t="s">
        <v>28</v>
      </c>
      <c r="D169" s="3" t="s">
        <v>20</v>
      </c>
      <c r="E169" s="4">
        <f t="shared" si="6"/>
        <v>0</v>
      </c>
      <c r="F169" s="4">
        <f t="shared" si="7"/>
        <v>0</v>
      </c>
      <c r="G169" s="4">
        <f t="shared" si="8"/>
        <v>0</v>
      </c>
      <c r="H169" s="3">
        <v>78432.14</v>
      </c>
      <c r="I169" s="3">
        <v>9440</v>
      </c>
      <c r="J169" s="3">
        <v>0.126</v>
      </c>
      <c r="K169" s="3">
        <v>23</v>
      </c>
      <c r="L169" s="3">
        <v>89.2</v>
      </c>
      <c r="M169" s="3">
        <v>7.86</v>
      </c>
      <c r="N169" s="3">
        <v>0</v>
      </c>
      <c r="O169" s="3">
        <v>4.0999999999999996</v>
      </c>
      <c r="P169" s="3">
        <v>820729.29</v>
      </c>
      <c r="Q169" s="3">
        <v>159325.47</v>
      </c>
    </row>
    <row r="170" spans="1:17">
      <c r="A170" s="3" t="s">
        <v>64</v>
      </c>
      <c r="B170" s="5">
        <v>45658</v>
      </c>
      <c r="C170" s="3" t="s">
        <v>16</v>
      </c>
      <c r="D170" s="3" t="s">
        <v>15</v>
      </c>
      <c r="E170" s="4">
        <f t="shared" si="6"/>
        <v>0</v>
      </c>
      <c r="F170" s="4">
        <f t="shared" si="7"/>
        <v>1</v>
      </c>
      <c r="G170" s="4">
        <f t="shared" si="8"/>
        <v>0</v>
      </c>
      <c r="H170" s="3">
        <v>62059.18</v>
      </c>
      <c r="I170" s="3">
        <v>9374</v>
      </c>
      <c r="J170" s="3">
        <v>0.13600000000000001</v>
      </c>
      <c r="K170" s="3">
        <v>25</v>
      </c>
      <c r="L170" s="3">
        <v>87.1</v>
      </c>
      <c r="M170" s="3">
        <v>12.55</v>
      </c>
      <c r="N170" s="3">
        <v>0</v>
      </c>
      <c r="O170" s="3">
        <v>4.9000000000000004</v>
      </c>
      <c r="P170" s="3">
        <v>739831.73</v>
      </c>
      <c r="Q170" s="3">
        <v>119490.21</v>
      </c>
    </row>
    <row r="171" spans="1:17">
      <c r="A171" s="3" t="s">
        <v>64</v>
      </c>
      <c r="B171" s="5">
        <v>45689</v>
      </c>
      <c r="C171" s="3" t="s">
        <v>16</v>
      </c>
      <c r="D171" s="3" t="s">
        <v>15</v>
      </c>
      <c r="E171" s="4">
        <f t="shared" si="6"/>
        <v>0</v>
      </c>
      <c r="F171" s="4">
        <f t="shared" si="7"/>
        <v>1</v>
      </c>
      <c r="G171" s="4">
        <f t="shared" si="8"/>
        <v>0</v>
      </c>
      <c r="H171" s="3">
        <v>32834.480000000003</v>
      </c>
      <c r="I171" s="3">
        <v>7576</v>
      </c>
      <c r="J171" s="3">
        <v>9.9000000000000005E-2</v>
      </c>
      <c r="K171" s="3">
        <v>15</v>
      </c>
      <c r="L171" s="3">
        <v>84.1</v>
      </c>
      <c r="M171" s="3">
        <v>3.48</v>
      </c>
      <c r="N171" s="3">
        <v>0</v>
      </c>
      <c r="O171" s="3">
        <v>5</v>
      </c>
      <c r="P171" s="3">
        <v>593637.14</v>
      </c>
      <c r="Q171" s="3">
        <v>106648.14</v>
      </c>
    </row>
    <row r="172" spans="1:17">
      <c r="A172" s="3" t="s">
        <v>64</v>
      </c>
      <c r="B172" s="5">
        <v>45717</v>
      </c>
      <c r="C172" s="3" t="s">
        <v>16</v>
      </c>
      <c r="D172" s="3" t="s">
        <v>15</v>
      </c>
      <c r="E172" s="4">
        <f t="shared" si="6"/>
        <v>0</v>
      </c>
      <c r="F172" s="4">
        <f t="shared" si="7"/>
        <v>1</v>
      </c>
      <c r="G172" s="4">
        <f t="shared" si="8"/>
        <v>0</v>
      </c>
      <c r="H172" s="3">
        <v>50825.08</v>
      </c>
      <c r="I172" s="3">
        <v>8949</v>
      </c>
      <c r="J172" s="3">
        <v>0.157</v>
      </c>
      <c r="K172" s="3">
        <v>21</v>
      </c>
      <c r="L172" s="3">
        <v>84.7</v>
      </c>
      <c r="M172" s="3">
        <v>7.73</v>
      </c>
      <c r="N172" s="3">
        <v>0</v>
      </c>
      <c r="O172" s="3">
        <v>4.9000000000000004</v>
      </c>
      <c r="P172" s="3">
        <v>769702.76</v>
      </c>
      <c r="Q172" s="3">
        <v>158697</v>
      </c>
    </row>
    <row r="173" spans="1:17">
      <c r="A173" s="3" t="s">
        <v>64</v>
      </c>
      <c r="B173" s="5">
        <v>45748</v>
      </c>
      <c r="C173" s="3" t="s">
        <v>16</v>
      </c>
      <c r="D173" s="3" t="s">
        <v>15</v>
      </c>
      <c r="E173" s="4">
        <f t="shared" si="6"/>
        <v>0</v>
      </c>
      <c r="F173" s="4">
        <f t="shared" si="7"/>
        <v>1</v>
      </c>
      <c r="G173" s="4">
        <f t="shared" si="8"/>
        <v>0</v>
      </c>
      <c r="H173" s="3">
        <v>36606.51</v>
      </c>
      <c r="I173" s="3">
        <v>7671</v>
      </c>
      <c r="J173" s="3">
        <v>0.11799999999999999</v>
      </c>
      <c r="K173" s="3">
        <v>18</v>
      </c>
      <c r="L173" s="3">
        <v>89.8</v>
      </c>
      <c r="M173" s="3">
        <v>0.25</v>
      </c>
      <c r="N173" s="3">
        <v>0</v>
      </c>
      <c r="O173" s="3">
        <v>4.4000000000000004</v>
      </c>
      <c r="P173" s="3">
        <v>679731.57</v>
      </c>
      <c r="Q173" s="3">
        <v>121546.42</v>
      </c>
    </row>
    <row r="174" spans="1:17">
      <c r="A174" s="3" t="s">
        <v>65</v>
      </c>
      <c r="B174" s="5">
        <v>45658</v>
      </c>
      <c r="C174" s="3" t="s">
        <v>16</v>
      </c>
      <c r="D174" s="3" t="s">
        <v>15</v>
      </c>
      <c r="E174" s="4">
        <f t="shared" si="6"/>
        <v>0</v>
      </c>
      <c r="F174" s="4">
        <f t="shared" si="7"/>
        <v>1</v>
      </c>
      <c r="G174" s="4">
        <f t="shared" si="8"/>
        <v>0</v>
      </c>
      <c r="H174" s="3">
        <v>65237.79</v>
      </c>
      <c r="I174" s="3">
        <v>8741</v>
      </c>
      <c r="J174" s="3">
        <v>0.157</v>
      </c>
      <c r="K174" s="3">
        <v>20</v>
      </c>
      <c r="L174" s="3">
        <v>94.4</v>
      </c>
      <c r="M174" s="3">
        <v>6.43</v>
      </c>
      <c r="N174" s="3">
        <v>0</v>
      </c>
      <c r="O174" s="3">
        <v>3.3</v>
      </c>
      <c r="P174" s="3">
        <v>780344.18</v>
      </c>
      <c r="Q174" s="3">
        <v>118239.09</v>
      </c>
    </row>
    <row r="175" spans="1:17">
      <c r="A175" s="3" t="s">
        <v>65</v>
      </c>
      <c r="B175" s="5">
        <v>45689</v>
      </c>
      <c r="C175" s="3" t="s">
        <v>16</v>
      </c>
      <c r="D175" s="3" t="s">
        <v>15</v>
      </c>
      <c r="E175" s="4">
        <f t="shared" si="6"/>
        <v>0</v>
      </c>
      <c r="F175" s="4">
        <f t="shared" si="7"/>
        <v>1</v>
      </c>
      <c r="G175" s="4">
        <f t="shared" si="8"/>
        <v>0</v>
      </c>
      <c r="H175" s="3">
        <v>43645.98</v>
      </c>
      <c r="I175" s="3">
        <v>9480</v>
      </c>
      <c r="J175" s="3">
        <v>0.109</v>
      </c>
      <c r="K175" s="3">
        <v>22</v>
      </c>
      <c r="L175" s="3">
        <v>89</v>
      </c>
      <c r="M175" s="3">
        <v>2.11</v>
      </c>
      <c r="N175" s="3">
        <v>0</v>
      </c>
      <c r="O175" s="3">
        <v>3.1</v>
      </c>
      <c r="P175" s="3">
        <v>721364.11</v>
      </c>
      <c r="Q175" s="3">
        <v>147272.81</v>
      </c>
    </row>
    <row r="176" spans="1:17">
      <c r="A176" s="3" t="s">
        <v>65</v>
      </c>
      <c r="B176" s="5">
        <v>45717</v>
      </c>
      <c r="C176" s="3" t="s">
        <v>16</v>
      </c>
      <c r="D176" s="3" t="s">
        <v>15</v>
      </c>
      <c r="E176" s="4">
        <f t="shared" si="6"/>
        <v>0</v>
      </c>
      <c r="F176" s="4">
        <f t="shared" si="7"/>
        <v>1</v>
      </c>
      <c r="G176" s="4">
        <f t="shared" si="8"/>
        <v>0</v>
      </c>
      <c r="H176" s="3">
        <v>68040.149999999994</v>
      </c>
      <c r="I176" s="3">
        <v>9826</v>
      </c>
      <c r="J176" s="3">
        <v>0.125</v>
      </c>
      <c r="K176" s="3">
        <v>20</v>
      </c>
      <c r="L176" s="3">
        <v>83.9</v>
      </c>
      <c r="M176" s="3">
        <v>9.1199999999999992</v>
      </c>
      <c r="N176" s="3">
        <v>0</v>
      </c>
      <c r="O176" s="3">
        <v>3.6</v>
      </c>
      <c r="P176" s="3">
        <v>758138.29</v>
      </c>
      <c r="Q176" s="3">
        <v>132975.26</v>
      </c>
    </row>
    <row r="177" spans="1:17">
      <c r="A177" s="3" t="s">
        <v>65</v>
      </c>
      <c r="B177" s="5">
        <v>45748</v>
      </c>
      <c r="C177" s="3" t="s">
        <v>16</v>
      </c>
      <c r="D177" s="3" t="s">
        <v>15</v>
      </c>
      <c r="E177" s="4">
        <f t="shared" si="6"/>
        <v>0</v>
      </c>
      <c r="F177" s="4">
        <f t="shared" si="7"/>
        <v>1</v>
      </c>
      <c r="G177" s="4">
        <f t="shared" si="8"/>
        <v>0</v>
      </c>
      <c r="H177" s="3">
        <v>63043.94</v>
      </c>
      <c r="I177" s="3">
        <v>10402</v>
      </c>
      <c r="J177" s="3">
        <v>0.159</v>
      </c>
      <c r="K177" s="3">
        <v>23</v>
      </c>
      <c r="L177" s="3">
        <v>93.9</v>
      </c>
      <c r="M177" s="3">
        <v>2.71</v>
      </c>
      <c r="N177" s="3">
        <v>0</v>
      </c>
      <c r="O177" s="3">
        <v>3.1</v>
      </c>
      <c r="P177" s="3">
        <v>804264</v>
      </c>
      <c r="Q177" s="3">
        <v>167117.91</v>
      </c>
    </row>
    <row r="178" spans="1:17">
      <c r="A178" s="3" t="s">
        <v>66</v>
      </c>
      <c r="B178" s="5">
        <v>45658</v>
      </c>
      <c r="C178" s="3" t="s">
        <v>21</v>
      </c>
      <c r="D178" s="3" t="s">
        <v>27</v>
      </c>
      <c r="E178" s="4">
        <f t="shared" si="6"/>
        <v>0</v>
      </c>
      <c r="F178" s="4">
        <f t="shared" si="7"/>
        <v>0</v>
      </c>
      <c r="G178" s="4">
        <f t="shared" si="8"/>
        <v>1</v>
      </c>
      <c r="H178" s="3">
        <v>67494.09</v>
      </c>
      <c r="I178" s="3">
        <v>12361</v>
      </c>
      <c r="J178" s="3">
        <v>4.5999999999999999E-2</v>
      </c>
      <c r="K178" s="3">
        <v>24</v>
      </c>
      <c r="L178" s="3">
        <v>76.599999999999994</v>
      </c>
      <c r="M178" s="3">
        <v>3.65</v>
      </c>
      <c r="N178" s="3">
        <v>1</v>
      </c>
      <c r="O178" s="3">
        <v>3.7</v>
      </c>
      <c r="P178" s="3">
        <v>887537.75</v>
      </c>
      <c r="Q178" s="3">
        <v>160362.92000000001</v>
      </c>
    </row>
    <row r="179" spans="1:17">
      <c r="A179" s="3" t="s">
        <v>66</v>
      </c>
      <c r="B179" s="5">
        <v>45689</v>
      </c>
      <c r="C179" s="3" t="s">
        <v>21</v>
      </c>
      <c r="D179" s="3" t="s">
        <v>27</v>
      </c>
      <c r="E179" s="4">
        <f t="shared" si="6"/>
        <v>0</v>
      </c>
      <c r="F179" s="4">
        <f t="shared" si="7"/>
        <v>0</v>
      </c>
      <c r="G179" s="4">
        <f t="shared" si="8"/>
        <v>1</v>
      </c>
      <c r="H179" s="3">
        <v>29389.32</v>
      </c>
      <c r="I179" s="3">
        <v>7925</v>
      </c>
      <c r="J179" s="3">
        <v>0.17699999999999999</v>
      </c>
      <c r="K179" s="3">
        <v>21</v>
      </c>
      <c r="L179" s="3">
        <v>90.9</v>
      </c>
      <c r="M179" s="3">
        <v>7.86</v>
      </c>
      <c r="N179" s="3">
        <v>0</v>
      </c>
      <c r="O179" s="3">
        <v>4</v>
      </c>
      <c r="P179" s="3">
        <v>783582</v>
      </c>
      <c r="Q179" s="3">
        <v>130670.93</v>
      </c>
    </row>
    <row r="180" spans="1:17">
      <c r="A180" s="3" t="s">
        <v>66</v>
      </c>
      <c r="B180" s="5">
        <v>45717</v>
      </c>
      <c r="C180" s="3" t="s">
        <v>21</v>
      </c>
      <c r="D180" s="3" t="s">
        <v>27</v>
      </c>
      <c r="E180" s="4">
        <f t="shared" si="6"/>
        <v>0</v>
      </c>
      <c r="F180" s="4">
        <f t="shared" si="7"/>
        <v>0</v>
      </c>
      <c r="G180" s="4">
        <f t="shared" si="8"/>
        <v>1</v>
      </c>
      <c r="H180" s="3">
        <v>40535.089999999997</v>
      </c>
      <c r="I180" s="3">
        <v>8870</v>
      </c>
      <c r="J180" s="3">
        <v>4.1000000000000002E-2</v>
      </c>
      <c r="K180" s="3">
        <v>21</v>
      </c>
      <c r="L180" s="3">
        <v>86.6</v>
      </c>
      <c r="M180" s="3">
        <v>0.3</v>
      </c>
      <c r="N180" s="3">
        <v>0</v>
      </c>
      <c r="O180" s="3">
        <v>4.0999999999999996</v>
      </c>
      <c r="P180" s="3">
        <v>781955.52</v>
      </c>
      <c r="Q180" s="3">
        <v>152578.71</v>
      </c>
    </row>
    <row r="181" spans="1:17">
      <c r="A181" s="3" t="s">
        <v>66</v>
      </c>
      <c r="B181" s="5">
        <v>45748</v>
      </c>
      <c r="C181" s="3" t="s">
        <v>21</v>
      </c>
      <c r="D181" s="3" t="s">
        <v>27</v>
      </c>
      <c r="E181" s="4">
        <f t="shared" si="6"/>
        <v>0</v>
      </c>
      <c r="F181" s="4">
        <f t="shared" si="7"/>
        <v>0</v>
      </c>
      <c r="G181" s="4">
        <f t="shared" si="8"/>
        <v>1</v>
      </c>
      <c r="H181" s="3">
        <v>74881.56</v>
      </c>
      <c r="I181" s="3">
        <v>9999</v>
      </c>
      <c r="J181" s="3">
        <v>1.2999999999999999E-2</v>
      </c>
      <c r="K181" s="3">
        <v>20</v>
      </c>
      <c r="L181" s="3">
        <v>89.6</v>
      </c>
      <c r="M181" s="3">
        <v>8.44</v>
      </c>
      <c r="N181" s="3">
        <v>0</v>
      </c>
      <c r="O181" s="3">
        <v>4.0999999999999996</v>
      </c>
      <c r="P181" s="3">
        <v>898031.04</v>
      </c>
      <c r="Q181" s="3">
        <v>138666.5</v>
      </c>
    </row>
    <row r="182" spans="1:17">
      <c r="A182" s="3" t="s">
        <v>67</v>
      </c>
      <c r="B182" s="5">
        <v>45658</v>
      </c>
      <c r="C182" s="3" t="s">
        <v>16</v>
      </c>
      <c r="D182" s="3" t="s">
        <v>27</v>
      </c>
      <c r="E182" s="4">
        <f t="shared" si="6"/>
        <v>0</v>
      </c>
      <c r="F182" s="4">
        <f t="shared" si="7"/>
        <v>0</v>
      </c>
      <c r="G182" s="4">
        <f t="shared" si="8"/>
        <v>1</v>
      </c>
      <c r="H182" s="3">
        <v>68491.11</v>
      </c>
      <c r="I182" s="3">
        <v>11154</v>
      </c>
      <c r="J182" s="3">
        <v>1E-3</v>
      </c>
      <c r="K182" s="3">
        <v>24</v>
      </c>
      <c r="L182" s="3">
        <v>89.4</v>
      </c>
      <c r="M182" s="3">
        <v>5.27</v>
      </c>
      <c r="N182" s="3">
        <v>1</v>
      </c>
      <c r="O182" s="3">
        <v>3.9</v>
      </c>
      <c r="P182" s="3">
        <v>855341.28</v>
      </c>
      <c r="Q182" s="3">
        <v>175823.8</v>
      </c>
    </row>
    <row r="183" spans="1:17">
      <c r="A183" s="3" t="s">
        <v>67</v>
      </c>
      <c r="B183" s="5">
        <v>45689</v>
      </c>
      <c r="C183" s="3" t="s">
        <v>16</v>
      </c>
      <c r="D183" s="3" t="s">
        <v>27</v>
      </c>
      <c r="E183" s="4">
        <f t="shared" si="6"/>
        <v>0</v>
      </c>
      <c r="F183" s="4">
        <f t="shared" si="7"/>
        <v>0</v>
      </c>
      <c r="G183" s="4">
        <f t="shared" si="8"/>
        <v>1</v>
      </c>
      <c r="H183" s="3">
        <v>45209.25</v>
      </c>
      <c r="I183" s="3">
        <v>9287</v>
      </c>
      <c r="J183" s="3">
        <v>0.14099999999999999</v>
      </c>
      <c r="K183" s="3">
        <v>22</v>
      </c>
      <c r="L183" s="3">
        <v>86.4</v>
      </c>
      <c r="M183" s="3">
        <v>13.22</v>
      </c>
      <c r="N183" s="3">
        <v>0</v>
      </c>
      <c r="O183" s="3">
        <v>3.6</v>
      </c>
      <c r="P183" s="3">
        <v>751393.88</v>
      </c>
      <c r="Q183" s="3">
        <v>91480.320000000007</v>
      </c>
    </row>
    <row r="184" spans="1:17">
      <c r="A184" s="3" t="s">
        <v>67</v>
      </c>
      <c r="B184" s="5">
        <v>45717</v>
      </c>
      <c r="C184" s="3" t="s">
        <v>16</v>
      </c>
      <c r="D184" s="3" t="s">
        <v>27</v>
      </c>
      <c r="E184" s="4">
        <f t="shared" si="6"/>
        <v>0</v>
      </c>
      <c r="F184" s="4">
        <f t="shared" si="7"/>
        <v>0</v>
      </c>
      <c r="G184" s="4">
        <f t="shared" si="8"/>
        <v>1</v>
      </c>
      <c r="H184" s="3">
        <v>63010.23</v>
      </c>
      <c r="I184" s="3">
        <v>9812</v>
      </c>
      <c r="J184" s="3">
        <v>0.113</v>
      </c>
      <c r="K184" s="3">
        <v>24</v>
      </c>
      <c r="L184" s="3">
        <v>76.8</v>
      </c>
      <c r="M184" s="3">
        <v>1.02</v>
      </c>
      <c r="N184" s="3">
        <v>1</v>
      </c>
      <c r="O184" s="3">
        <v>3.8</v>
      </c>
      <c r="P184" s="3">
        <v>761077.08</v>
      </c>
      <c r="Q184" s="3">
        <v>113605.93</v>
      </c>
    </row>
    <row r="185" spans="1:17">
      <c r="A185" s="3" t="s">
        <v>67</v>
      </c>
      <c r="B185" s="5">
        <v>45748</v>
      </c>
      <c r="C185" s="3" t="s">
        <v>16</v>
      </c>
      <c r="D185" s="3" t="s">
        <v>27</v>
      </c>
      <c r="E185" s="4">
        <f t="shared" si="6"/>
        <v>0</v>
      </c>
      <c r="F185" s="4">
        <f t="shared" si="7"/>
        <v>0</v>
      </c>
      <c r="G185" s="4">
        <f t="shared" si="8"/>
        <v>1</v>
      </c>
      <c r="H185" s="3">
        <v>57948.88</v>
      </c>
      <c r="I185" s="3">
        <v>10741</v>
      </c>
      <c r="J185" s="3">
        <v>7.0000000000000007E-2</v>
      </c>
      <c r="K185" s="3">
        <v>25</v>
      </c>
      <c r="L185" s="3">
        <v>90.1</v>
      </c>
      <c r="M185" s="3">
        <v>4.03</v>
      </c>
      <c r="N185" s="3">
        <v>0</v>
      </c>
      <c r="O185" s="3">
        <v>3.1</v>
      </c>
      <c r="P185" s="3">
        <v>819660.59</v>
      </c>
      <c r="Q185" s="3">
        <v>172699.95</v>
      </c>
    </row>
    <row r="186" spans="1:17">
      <c r="A186" s="3" t="s">
        <v>68</v>
      </c>
      <c r="B186" s="5">
        <v>45658</v>
      </c>
      <c r="C186" s="3" t="s">
        <v>18</v>
      </c>
      <c r="D186" s="3" t="s">
        <v>20</v>
      </c>
      <c r="E186" s="4">
        <f t="shared" si="6"/>
        <v>0</v>
      </c>
      <c r="F186" s="4">
        <f t="shared" si="7"/>
        <v>0</v>
      </c>
      <c r="G186" s="4">
        <f t="shared" si="8"/>
        <v>0</v>
      </c>
      <c r="H186" s="3">
        <v>71941.62</v>
      </c>
      <c r="I186" s="3">
        <v>6084</v>
      </c>
      <c r="J186" s="3">
        <v>7.1999999999999995E-2</v>
      </c>
      <c r="K186" s="3">
        <v>13</v>
      </c>
      <c r="L186" s="3">
        <v>93.7</v>
      </c>
      <c r="M186" s="3">
        <v>2.34</v>
      </c>
      <c r="N186" s="3">
        <v>0</v>
      </c>
      <c r="O186" s="3">
        <v>4.4000000000000004</v>
      </c>
      <c r="P186" s="3">
        <v>681855.56</v>
      </c>
      <c r="Q186" s="3">
        <v>117645.61</v>
      </c>
    </row>
    <row r="187" spans="1:17">
      <c r="A187" s="3" t="s">
        <v>68</v>
      </c>
      <c r="B187" s="5">
        <v>45689</v>
      </c>
      <c r="C187" s="3" t="s">
        <v>18</v>
      </c>
      <c r="D187" s="3" t="s">
        <v>20</v>
      </c>
      <c r="E187" s="4">
        <f t="shared" si="6"/>
        <v>0</v>
      </c>
      <c r="F187" s="4">
        <f t="shared" si="7"/>
        <v>0</v>
      </c>
      <c r="G187" s="4">
        <f t="shared" si="8"/>
        <v>0</v>
      </c>
      <c r="H187" s="3">
        <v>57147.88</v>
      </c>
      <c r="I187" s="3">
        <v>5252</v>
      </c>
      <c r="J187" s="3">
        <v>0.161</v>
      </c>
      <c r="K187" s="3">
        <v>15</v>
      </c>
      <c r="L187" s="3">
        <v>95.5</v>
      </c>
      <c r="M187" s="3">
        <v>8.51</v>
      </c>
      <c r="N187" s="3">
        <v>0</v>
      </c>
      <c r="O187" s="3">
        <v>4.4000000000000004</v>
      </c>
      <c r="P187" s="3">
        <v>678311.17</v>
      </c>
      <c r="Q187" s="3">
        <v>132029.76000000001</v>
      </c>
    </row>
    <row r="188" spans="1:17">
      <c r="A188" s="3" t="s">
        <v>68</v>
      </c>
      <c r="B188" s="5">
        <v>45717</v>
      </c>
      <c r="C188" s="3" t="s">
        <v>18</v>
      </c>
      <c r="D188" s="3" t="s">
        <v>20</v>
      </c>
      <c r="E188" s="4">
        <f t="shared" si="6"/>
        <v>0</v>
      </c>
      <c r="F188" s="4">
        <f t="shared" si="7"/>
        <v>0</v>
      </c>
      <c r="G188" s="4">
        <f t="shared" si="8"/>
        <v>0</v>
      </c>
      <c r="H188" s="3">
        <v>48031.74</v>
      </c>
      <c r="I188" s="3">
        <v>6516</v>
      </c>
      <c r="J188" s="3">
        <v>6.7000000000000004E-2</v>
      </c>
      <c r="K188" s="3">
        <v>14</v>
      </c>
      <c r="L188" s="3">
        <v>99</v>
      </c>
      <c r="M188" s="3">
        <v>0.48</v>
      </c>
      <c r="N188" s="3">
        <v>1</v>
      </c>
      <c r="O188" s="3">
        <v>4.3</v>
      </c>
      <c r="P188" s="3">
        <v>765906.95</v>
      </c>
      <c r="Q188" s="3">
        <v>114005.9</v>
      </c>
    </row>
    <row r="189" spans="1:17">
      <c r="A189" s="3" t="s">
        <v>68</v>
      </c>
      <c r="B189" s="5">
        <v>45748</v>
      </c>
      <c r="C189" s="3" t="s">
        <v>18</v>
      </c>
      <c r="D189" s="3" t="s">
        <v>20</v>
      </c>
      <c r="E189" s="4">
        <f t="shared" si="6"/>
        <v>0</v>
      </c>
      <c r="F189" s="4">
        <f t="shared" si="7"/>
        <v>0</v>
      </c>
      <c r="G189" s="4">
        <f t="shared" si="8"/>
        <v>0</v>
      </c>
      <c r="H189" s="3">
        <v>72784.800000000003</v>
      </c>
      <c r="I189" s="3">
        <v>7932</v>
      </c>
      <c r="J189" s="3">
        <v>9.4E-2</v>
      </c>
      <c r="K189" s="3">
        <v>20</v>
      </c>
      <c r="L189" s="3">
        <v>74.900000000000006</v>
      </c>
      <c r="M189" s="3">
        <v>13.62</v>
      </c>
      <c r="N189" s="3">
        <v>0</v>
      </c>
      <c r="O189" s="3">
        <v>4.2</v>
      </c>
      <c r="P189" s="3">
        <v>712546.38</v>
      </c>
      <c r="Q189" s="3">
        <v>101480.04</v>
      </c>
    </row>
    <row r="190" spans="1:17">
      <c r="A190" s="3" t="s">
        <v>69</v>
      </c>
      <c r="B190" s="5">
        <v>45658</v>
      </c>
      <c r="C190" s="3" t="s">
        <v>18</v>
      </c>
      <c r="D190" s="3" t="s">
        <v>15</v>
      </c>
      <c r="E190" s="4">
        <f t="shared" si="6"/>
        <v>0</v>
      </c>
      <c r="F190" s="4">
        <f t="shared" si="7"/>
        <v>1</v>
      </c>
      <c r="G190" s="4">
        <f t="shared" si="8"/>
        <v>0</v>
      </c>
      <c r="H190" s="3">
        <v>71641.899999999994</v>
      </c>
      <c r="I190" s="3">
        <v>3506</v>
      </c>
      <c r="J190" s="3">
        <v>0</v>
      </c>
      <c r="K190" s="3">
        <v>11</v>
      </c>
      <c r="L190" s="3">
        <v>86.4</v>
      </c>
      <c r="M190" s="3">
        <v>7.77</v>
      </c>
      <c r="N190" s="3">
        <v>0</v>
      </c>
      <c r="O190" s="3">
        <v>4.0999999999999996</v>
      </c>
      <c r="P190" s="3">
        <v>625993.82999999996</v>
      </c>
      <c r="Q190" s="3">
        <v>98960.320000000007</v>
      </c>
    </row>
    <row r="191" spans="1:17">
      <c r="A191" s="3" t="s">
        <v>69</v>
      </c>
      <c r="B191" s="5">
        <v>45689</v>
      </c>
      <c r="C191" s="3" t="s">
        <v>18</v>
      </c>
      <c r="D191" s="3" t="s">
        <v>15</v>
      </c>
      <c r="E191" s="4">
        <f t="shared" si="6"/>
        <v>0</v>
      </c>
      <c r="F191" s="4">
        <f t="shared" si="7"/>
        <v>1</v>
      </c>
      <c r="G191" s="4">
        <f t="shared" si="8"/>
        <v>0</v>
      </c>
      <c r="H191" s="3">
        <v>55788.61</v>
      </c>
      <c r="I191" s="3">
        <v>2312</v>
      </c>
      <c r="J191" s="3">
        <v>5.8000000000000003E-2</v>
      </c>
      <c r="K191" s="3">
        <v>10</v>
      </c>
      <c r="L191" s="3">
        <v>91.3</v>
      </c>
      <c r="M191" s="3">
        <v>1.99</v>
      </c>
      <c r="N191" s="3">
        <v>0</v>
      </c>
      <c r="O191" s="3">
        <v>3.8</v>
      </c>
      <c r="P191" s="3">
        <v>550962.93000000005</v>
      </c>
      <c r="Q191" s="3">
        <v>97144.58</v>
      </c>
    </row>
    <row r="192" spans="1:17">
      <c r="A192" s="3" t="s">
        <v>69</v>
      </c>
      <c r="B192" s="5">
        <v>45717</v>
      </c>
      <c r="C192" s="3" t="s">
        <v>18</v>
      </c>
      <c r="D192" s="3" t="s">
        <v>15</v>
      </c>
      <c r="E192" s="4">
        <f t="shared" si="6"/>
        <v>0</v>
      </c>
      <c r="F192" s="4">
        <f t="shared" si="7"/>
        <v>1</v>
      </c>
      <c r="G192" s="4">
        <f t="shared" si="8"/>
        <v>0</v>
      </c>
      <c r="H192" s="3">
        <v>37705.879999999997</v>
      </c>
      <c r="I192" s="3">
        <v>1268</v>
      </c>
      <c r="J192" s="3">
        <v>0.25900000000000001</v>
      </c>
      <c r="K192" s="3">
        <v>9</v>
      </c>
      <c r="L192" s="3">
        <v>84.1</v>
      </c>
      <c r="M192" s="3">
        <v>4.7699999999999996</v>
      </c>
      <c r="N192" s="3">
        <v>0</v>
      </c>
      <c r="O192" s="3">
        <v>3.8</v>
      </c>
      <c r="P192" s="3">
        <v>443275.59</v>
      </c>
      <c r="Q192" s="3">
        <v>53544.36</v>
      </c>
    </row>
    <row r="193" spans="1:17">
      <c r="A193" s="3" t="s">
        <v>69</v>
      </c>
      <c r="B193" s="5">
        <v>45748</v>
      </c>
      <c r="C193" s="3" t="s">
        <v>18</v>
      </c>
      <c r="D193" s="3" t="s">
        <v>15</v>
      </c>
      <c r="E193" s="4">
        <f t="shared" si="6"/>
        <v>0</v>
      </c>
      <c r="F193" s="4">
        <f t="shared" si="7"/>
        <v>1</v>
      </c>
      <c r="G193" s="4">
        <f t="shared" si="8"/>
        <v>0</v>
      </c>
      <c r="H193" s="3">
        <v>54966.18</v>
      </c>
      <c r="I193" s="3">
        <v>4423</v>
      </c>
      <c r="J193" s="3">
        <v>0.186</v>
      </c>
      <c r="K193" s="3">
        <v>13</v>
      </c>
      <c r="L193" s="3">
        <v>88.7</v>
      </c>
      <c r="M193" s="3">
        <v>0.2</v>
      </c>
      <c r="N193" s="3">
        <v>0</v>
      </c>
      <c r="O193" s="3">
        <v>4.4000000000000004</v>
      </c>
      <c r="P193" s="3">
        <v>554012.06999999995</v>
      </c>
      <c r="Q193" s="3">
        <v>81101.62</v>
      </c>
    </row>
    <row r="194" spans="1:17">
      <c r="A194" s="3" t="s">
        <v>70</v>
      </c>
      <c r="B194" s="5">
        <v>45658</v>
      </c>
      <c r="C194" s="3" t="s">
        <v>16</v>
      </c>
      <c r="D194" s="3" t="s">
        <v>27</v>
      </c>
      <c r="E194" s="4">
        <f t="shared" si="6"/>
        <v>0</v>
      </c>
      <c r="F194" s="4">
        <f t="shared" si="7"/>
        <v>0</v>
      </c>
      <c r="G194" s="4">
        <f t="shared" si="8"/>
        <v>1</v>
      </c>
      <c r="H194" s="3">
        <v>81796.740000000005</v>
      </c>
      <c r="I194" s="3">
        <v>6177</v>
      </c>
      <c r="J194" s="3">
        <v>0.16400000000000001</v>
      </c>
      <c r="K194" s="3">
        <v>14</v>
      </c>
      <c r="L194" s="3">
        <v>87.9</v>
      </c>
      <c r="M194" s="3">
        <v>0.53</v>
      </c>
      <c r="N194" s="3">
        <v>0</v>
      </c>
      <c r="O194" s="3">
        <v>3.2</v>
      </c>
      <c r="P194" s="3">
        <v>643428.85</v>
      </c>
      <c r="Q194" s="3">
        <v>94477.63</v>
      </c>
    </row>
    <row r="195" spans="1:17">
      <c r="A195" s="3" t="s">
        <v>70</v>
      </c>
      <c r="B195" s="5">
        <v>45689</v>
      </c>
      <c r="C195" s="3" t="s">
        <v>16</v>
      </c>
      <c r="D195" s="3" t="s">
        <v>27</v>
      </c>
      <c r="E195" s="4">
        <f t="shared" ref="E195:E258" si="9">IF(D195="South",1,0)</f>
        <v>0</v>
      </c>
      <c r="F195" s="4">
        <f t="shared" ref="F195:F258" si="10">IF(D195="East",1,0)</f>
        <v>0</v>
      </c>
      <c r="G195" s="4">
        <f t="shared" ref="G195:G258" si="11">IF(D195="West",1,0)</f>
        <v>1</v>
      </c>
      <c r="H195" s="3">
        <v>51133.43</v>
      </c>
      <c r="I195" s="3">
        <v>5150</v>
      </c>
      <c r="J195" s="3">
        <v>0.15</v>
      </c>
      <c r="K195" s="3">
        <v>12</v>
      </c>
      <c r="L195" s="3">
        <v>88.5</v>
      </c>
      <c r="M195" s="3">
        <v>1.54</v>
      </c>
      <c r="N195" s="3">
        <v>0</v>
      </c>
      <c r="O195" s="3">
        <v>3.2</v>
      </c>
      <c r="P195" s="3">
        <v>611924.27</v>
      </c>
      <c r="Q195" s="3">
        <v>115488.75</v>
      </c>
    </row>
    <row r="196" spans="1:17">
      <c r="A196" s="3" t="s">
        <v>70</v>
      </c>
      <c r="B196" s="5">
        <v>45717</v>
      </c>
      <c r="C196" s="3" t="s">
        <v>16</v>
      </c>
      <c r="D196" s="3" t="s">
        <v>27</v>
      </c>
      <c r="E196" s="4">
        <f t="shared" si="9"/>
        <v>0</v>
      </c>
      <c r="F196" s="4">
        <f t="shared" si="10"/>
        <v>0</v>
      </c>
      <c r="G196" s="4">
        <f t="shared" si="11"/>
        <v>1</v>
      </c>
      <c r="H196" s="3">
        <v>40220.18</v>
      </c>
      <c r="I196" s="3">
        <v>3783</v>
      </c>
      <c r="J196" s="3">
        <v>8.8999999999999996E-2</v>
      </c>
      <c r="K196" s="3">
        <v>14</v>
      </c>
      <c r="L196" s="3">
        <v>86.6</v>
      </c>
      <c r="M196" s="3">
        <v>3.63</v>
      </c>
      <c r="N196" s="3">
        <v>0</v>
      </c>
      <c r="O196" s="3">
        <v>3.7</v>
      </c>
      <c r="P196" s="3">
        <v>559422.02</v>
      </c>
      <c r="Q196" s="3">
        <v>73528.740000000005</v>
      </c>
    </row>
    <row r="197" spans="1:17">
      <c r="A197" s="3" t="s">
        <v>70</v>
      </c>
      <c r="B197" s="5">
        <v>45748</v>
      </c>
      <c r="C197" s="3" t="s">
        <v>16</v>
      </c>
      <c r="D197" s="3" t="s">
        <v>27</v>
      </c>
      <c r="E197" s="4">
        <f t="shared" si="9"/>
        <v>0</v>
      </c>
      <c r="F197" s="4">
        <f t="shared" si="10"/>
        <v>0</v>
      </c>
      <c r="G197" s="4">
        <f t="shared" si="11"/>
        <v>1</v>
      </c>
      <c r="H197" s="3">
        <v>41657.64</v>
      </c>
      <c r="I197" s="3">
        <v>3135</v>
      </c>
      <c r="J197" s="3">
        <v>0.22900000000000001</v>
      </c>
      <c r="K197" s="3">
        <v>7</v>
      </c>
      <c r="L197" s="3">
        <v>85.4</v>
      </c>
      <c r="M197" s="3">
        <v>13.48</v>
      </c>
      <c r="N197" s="3">
        <v>0</v>
      </c>
      <c r="O197" s="4">
        <v>0</v>
      </c>
      <c r="P197" s="3">
        <v>449465.06</v>
      </c>
      <c r="Q197" s="3">
        <v>65694.78</v>
      </c>
    </row>
    <row r="198" spans="1:17">
      <c r="A198" s="3" t="s">
        <v>71</v>
      </c>
      <c r="B198" s="5">
        <v>45658</v>
      </c>
      <c r="C198" s="3" t="s">
        <v>16</v>
      </c>
      <c r="D198" s="3" t="s">
        <v>20</v>
      </c>
      <c r="E198" s="4">
        <f t="shared" si="9"/>
        <v>0</v>
      </c>
      <c r="F198" s="4">
        <f t="shared" si="10"/>
        <v>0</v>
      </c>
      <c r="G198" s="4">
        <f t="shared" si="11"/>
        <v>0</v>
      </c>
      <c r="H198" s="3">
        <v>71851.45</v>
      </c>
      <c r="I198" s="3">
        <v>4970</v>
      </c>
      <c r="J198" s="3">
        <v>9.8000000000000004E-2</v>
      </c>
      <c r="K198" s="3">
        <v>11</v>
      </c>
      <c r="L198" s="3">
        <v>89.6</v>
      </c>
      <c r="M198" s="3">
        <v>0.2</v>
      </c>
      <c r="N198" s="3">
        <v>0</v>
      </c>
      <c r="O198" s="3">
        <v>4.2</v>
      </c>
      <c r="P198" s="3">
        <v>691447.43</v>
      </c>
      <c r="Q198" s="3">
        <v>114077.69</v>
      </c>
    </row>
    <row r="199" spans="1:17">
      <c r="A199" s="3" t="s">
        <v>71</v>
      </c>
      <c r="B199" s="5">
        <v>45689</v>
      </c>
      <c r="C199" s="3" t="s">
        <v>16</v>
      </c>
      <c r="D199" s="3" t="s">
        <v>20</v>
      </c>
      <c r="E199" s="4">
        <f t="shared" si="9"/>
        <v>0</v>
      </c>
      <c r="F199" s="4">
        <f t="shared" si="10"/>
        <v>0</v>
      </c>
      <c r="G199" s="4">
        <f t="shared" si="11"/>
        <v>0</v>
      </c>
      <c r="H199" s="3">
        <v>54002.83</v>
      </c>
      <c r="I199" s="3">
        <v>4366</v>
      </c>
      <c r="J199" s="3">
        <v>2.7E-2</v>
      </c>
      <c r="K199" s="3">
        <v>15</v>
      </c>
      <c r="L199" s="3">
        <v>90.6</v>
      </c>
      <c r="M199" s="3">
        <v>12.82</v>
      </c>
      <c r="N199" s="3">
        <v>0</v>
      </c>
      <c r="O199" s="3">
        <v>4.5999999999999996</v>
      </c>
      <c r="P199" s="3">
        <v>574066.61</v>
      </c>
      <c r="Q199" s="3">
        <v>124674.67</v>
      </c>
    </row>
    <row r="200" spans="1:17">
      <c r="A200" s="3" t="s">
        <v>71</v>
      </c>
      <c r="B200" s="5">
        <v>45717</v>
      </c>
      <c r="C200" s="3" t="s">
        <v>16</v>
      </c>
      <c r="D200" s="3" t="s">
        <v>20</v>
      </c>
      <c r="E200" s="4">
        <f t="shared" si="9"/>
        <v>0</v>
      </c>
      <c r="F200" s="4">
        <f t="shared" si="10"/>
        <v>0</v>
      </c>
      <c r="G200" s="4">
        <f t="shared" si="11"/>
        <v>0</v>
      </c>
      <c r="H200" s="3">
        <v>54479.33</v>
      </c>
      <c r="I200" s="3">
        <v>5012</v>
      </c>
      <c r="J200" s="3">
        <v>0.28399999999999997</v>
      </c>
      <c r="K200" s="3">
        <v>13</v>
      </c>
      <c r="L200" s="3">
        <v>86</v>
      </c>
      <c r="M200" s="3">
        <v>2.2400000000000002</v>
      </c>
      <c r="N200" s="3">
        <v>1</v>
      </c>
      <c r="O200" s="3">
        <v>4.3</v>
      </c>
      <c r="P200" s="3">
        <v>578949.84</v>
      </c>
      <c r="Q200" s="3">
        <v>80253.649999999994</v>
      </c>
    </row>
    <row r="201" spans="1:17">
      <c r="A201" s="3" t="s">
        <v>71</v>
      </c>
      <c r="B201" s="5">
        <v>45748</v>
      </c>
      <c r="C201" s="3" t="s">
        <v>16</v>
      </c>
      <c r="D201" s="3" t="s">
        <v>20</v>
      </c>
      <c r="E201" s="4">
        <f t="shared" si="9"/>
        <v>0</v>
      </c>
      <c r="F201" s="4">
        <f t="shared" si="10"/>
        <v>0</v>
      </c>
      <c r="G201" s="4">
        <f t="shared" si="11"/>
        <v>0</v>
      </c>
      <c r="H201" s="3">
        <v>61391.8</v>
      </c>
      <c r="I201" s="3">
        <v>5575</v>
      </c>
      <c r="J201" s="3">
        <v>0.189</v>
      </c>
      <c r="K201" s="3">
        <v>18</v>
      </c>
      <c r="L201" s="3">
        <v>90</v>
      </c>
      <c r="M201" s="3">
        <v>1.8</v>
      </c>
      <c r="N201" s="3">
        <v>0</v>
      </c>
      <c r="O201" s="3">
        <v>4.8</v>
      </c>
      <c r="P201" s="3">
        <v>735786.64</v>
      </c>
      <c r="Q201" s="3">
        <v>126540.66</v>
      </c>
    </row>
    <row r="202" spans="1:17">
      <c r="A202" s="3" t="s">
        <v>72</v>
      </c>
      <c r="B202" s="5">
        <v>45658</v>
      </c>
      <c r="C202" s="3" t="s">
        <v>21</v>
      </c>
      <c r="D202" s="3" t="s">
        <v>15</v>
      </c>
      <c r="E202" s="4">
        <f t="shared" si="9"/>
        <v>0</v>
      </c>
      <c r="F202" s="4">
        <f t="shared" si="10"/>
        <v>1</v>
      </c>
      <c r="G202" s="4">
        <f t="shared" si="11"/>
        <v>0</v>
      </c>
      <c r="H202" s="3">
        <v>22312.93</v>
      </c>
      <c r="I202" s="3">
        <v>5955</v>
      </c>
      <c r="J202" s="3">
        <v>0.123</v>
      </c>
      <c r="K202" s="3">
        <v>13</v>
      </c>
      <c r="L202" s="3">
        <v>84.2</v>
      </c>
      <c r="M202" s="3">
        <v>0.41</v>
      </c>
      <c r="N202" s="3">
        <v>1</v>
      </c>
      <c r="O202" s="3">
        <v>4.5999999999999996</v>
      </c>
      <c r="P202" s="3">
        <v>598904.9</v>
      </c>
      <c r="Q202" s="3">
        <v>72861</v>
      </c>
    </row>
    <row r="203" spans="1:17">
      <c r="A203" s="3" t="s">
        <v>72</v>
      </c>
      <c r="B203" s="5">
        <v>45689</v>
      </c>
      <c r="C203" s="3" t="s">
        <v>21</v>
      </c>
      <c r="D203" s="3" t="s">
        <v>15</v>
      </c>
      <c r="E203" s="4">
        <f t="shared" si="9"/>
        <v>0</v>
      </c>
      <c r="F203" s="4">
        <f t="shared" si="10"/>
        <v>1</v>
      </c>
      <c r="G203" s="4">
        <f t="shared" si="11"/>
        <v>0</v>
      </c>
      <c r="H203" s="3">
        <v>78111.97</v>
      </c>
      <c r="I203" s="3">
        <v>6389</v>
      </c>
      <c r="J203" s="3">
        <v>0.15</v>
      </c>
      <c r="K203" s="3">
        <v>13</v>
      </c>
      <c r="L203" s="3">
        <v>83.9</v>
      </c>
      <c r="M203" s="3">
        <v>3.05</v>
      </c>
      <c r="N203" s="3">
        <v>0</v>
      </c>
      <c r="O203" s="3">
        <v>4.8</v>
      </c>
      <c r="P203" s="3">
        <v>787715.51</v>
      </c>
      <c r="Q203" s="3">
        <v>128969.62</v>
      </c>
    </row>
    <row r="204" spans="1:17">
      <c r="A204" s="3" t="s">
        <v>72</v>
      </c>
      <c r="B204" s="5">
        <v>45717</v>
      </c>
      <c r="C204" s="3" t="s">
        <v>21</v>
      </c>
      <c r="D204" s="3" t="s">
        <v>15</v>
      </c>
      <c r="E204" s="4">
        <f t="shared" si="9"/>
        <v>0</v>
      </c>
      <c r="F204" s="4">
        <f t="shared" si="10"/>
        <v>1</v>
      </c>
      <c r="G204" s="4">
        <f t="shared" si="11"/>
        <v>0</v>
      </c>
      <c r="H204" s="3">
        <v>35203.230000000003</v>
      </c>
      <c r="I204" s="3">
        <v>6896</v>
      </c>
      <c r="J204" s="3">
        <v>3.2000000000000001E-2</v>
      </c>
      <c r="K204" s="3">
        <v>14</v>
      </c>
      <c r="L204" s="3">
        <v>80.8</v>
      </c>
      <c r="M204" s="3">
        <v>8.44</v>
      </c>
      <c r="N204" s="3">
        <v>1</v>
      </c>
      <c r="O204" s="3">
        <v>5</v>
      </c>
      <c r="P204" s="3">
        <v>607084.92000000004</v>
      </c>
      <c r="Q204" s="3">
        <v>98558.49</v>
      </c>
    </row>
    <row r="205" spans="1:17">
      <c r="A205" s="3" t="s">
        <v>72</v>
      </c>
      <c r="B205" s="5">
        <v>45748</v>
      </c>
      <c r="C205" s="3" t="s">
        <v>21</v>
      </c>
      <c r="D205" s="3" t="s">
        <v>15</v>
      </c>
      <c r="E205" s="4">
        <f t="shared" si="9"/>
        <v>0</v>
      </c>
      <c r="F205" s="4">
        <f t="shared" si="10"/>
        <v>1</v>
      </c>
      <c r="G205" s="4">
        <f t="shared" si="11"/>
        <v>0</v>
      </c>
      <c r="H205" s="3">
        <v>64104.28</v>
      </c>
      <c r="I205" s="3">
        <v>6015</v>
      </c>
      <c r="J205" s="3">
        <v>0.127</v>
      </c>
      <c r="K205" s="3">
        <v>15</v>
      </c>
      <c r="L205" s="3">
        <v>88.7</v>
      </c>
      <c r="M205" s="3">
        <v>0.78</v>
      </c>
      <c r="N205" s="3">
        <v>0</v>
      </c>
      <c r="O205" s="3">
        <v>4</v>
      </c>
      <c r="P205" s="3">
        <v>650795.49</v>
      </c>
      <c r="Q205" s="3">
        <v>103035.89</v>
      </c>
    </row>
    <row r="206" spans="1:17">
      <c r="A206" s="3" t="s">
        <v>73</v>
      </c>
      <c r="B206" s="5">
        <v>45658</v>
      </c>
      <c r="C206" s="3" t="s">
        <v>28</v>
      </c>
      <c r="D206" s="3" t="s">
        <v>15</v>
      </c>
      <c r="E206" s="4">
        <f t="shared" si="9"/>
        <v>0</v>
      </c>
      <c r="F206" s="4">
        <f t="shared" si="10"/>
        <v>1</v>
      </c>
      <c r="G206" s="4">
        <f t="shared" si="11"/>
        <v>0</v>
      </c>
      <c r="H206" s="3">
        <v>92090.14</v>
      </c>
      <c r="I206" s="3">
        <v>9476</v>
      </c>
      <c r="J206" s="3">
        <v>7.0000000000000007E-2</v>
      </c>
      <c r="K206" s="3">
        <v>24</v>
      </c>
      <c r="L206" s="3">
        <v>94.3</v>
      </c>
      <c r="M206" s="3">
        <v>0.87</v>
      </c>
      <c r="N206" s="3">
        <v>0</v>
      </c>
      <c r="O206" s="3">
        <v>3.7</v>
      </c>
      <c r="P206" s="3">
        <v>825060.52</v>
      </c>
      <c r="Q206" s="3">
        <v>143613.15</v>
      </c>
    </row>
    <row r="207" spans="1:17">
      <c r="A207" s="3" t="s">
        <v>73</v>
      </c>
      <c r="B207" s="5">
        <v>45689</v>
      </c>
      <c r="C207" s="3" t="s">
        <v>28</v>
      </c>
      <c r="D207" s="3" t="s">
        <v>15</v>
      </c>
      <c r="E207" s="4">
        <f t="shared" si="9"/>
        <v>0</v>
      </c>
      <c r="F207" s="4">
        <f t="shared" si="10"/>
        <v>1</v>
      </c>
      <c r="G207" s="4">
        <f t="shared" si="11"/>
        <v>0</v>
      </c>
      <c r="H207" s="3">
        <v>54300.87</v>
      </c>
      <c r="I207" s="3">
        <v>7875</v>
      </c>
      <c r="J207" s="3">
        <v>0.107</v>
      </c>
      <c r="K207" s="3">
        <v>19</v>
      </c>
      <c r="L207" s="3">
        <v>94.1</v>
      </c>
      <c r="M207" s="3">
        <v>0.95</v>
      </c>
      <c r="N207" s="3">
        <v>0</v>
      </c>
      <c r="O207" s="3">
        <v>3.7</v>
      </c>
      <c r="P207" s="3">
        <v>795464.47</v>
      </c>
      <c r="Q207" s="3">
        <v>161150.51999999999</v>
      </c>
    </row>
    <row r="208" spans="1:17">
      <c r="A208" s="3" t="s">
        <v>73</v>
      </c>
      <c r="B208" s="5">
        <v>45717</v>
      </c>
      <c r="C208" s="3" t="s">
        <v>28</v>
      </c>
      <c r="D208" s="3" t="s">
        <v>15</v>
      </c>
      <c r="E208" s="4">
        <f t="shared" si="9"/>
        <v>0</v>
      </c>
      <c r="F208" s="4">
        <f t="shared" si="10"/>
        <v>1</v>
      </c>
      <c r="G208" s="4">
        <f t="shared" si="11"/>
        <v>0</v>
      </c>
      <c r="H208" s="3">
        <v>37983.35</v>
      </c>
      <c r="I208" s="3">
        <v>9283</v>
      </c>
      <c r="J208" s="3">
        <v>0.14899999999999999</v>
      </c>
      <c r="K208" s="3">
        <v>19</v>
      </c>
      <c r="L208" s="3">
        <v>83.2</v>
      </c>
      <c r="M208" s="3">
        <v>3.82</v>
      </c>
      <c r="N208" s="3">
        <v>0</v>
      </c>
      <c r="O208" s="3">
        <v>3.7</v>
      </c>
      <c r="P208" s="3">
        <v>671868.59</v>
      </c>
      <c r="Q208" s="3">
        <v>71003.28</v>
      </c>
    </row>
    <row r="209" spans="1:17">
      <c r="A209" s="3" t="s">
        <v>73</v>
      </c>
      <c r="B209" s="5">
        <v>45748</v>
      </c>
      <c r="C209" s="3" t="s">
        <v>28</v>
      </c>
      <c r="D209" s="3" t="s">
        <v>15</v>
      </c>
      <c r="E209" s="4">
        <f t="shared" si="9"/>
        <v>0</v>
      </c>
      <c r="F209" s="4">
        <f t="shared" si="10"/>
        <v>1</v>
      </c>
      <c r="G209" s="4">
        <f t="shared" si="11"/>
        <v>0</v>
      </c>
      <c r="H209" s="3">
        <v>56413.83</v>
      </c>
      <c r="I209" s="3">
        <v>8303</v>
      </c>
      <c r="J209" s="3">
        <v>0.11600000000000001</v>
      </c>
      <c r="K209" s="3">
        <v>18</v>
      </c>
      <c r="L209" s="3">
        <v>93.6</v>
      </c>
      <c r="M209" s="3">
        <v>2.7</v>
      </c>
      <c r="N209" s="3">
        <v>0</v>
      </c>
      <c r="O209" s="3">
        <v>3.7</v>
      </c>
      <c r="P209" s="3">
        <v>675917.63</v>
      </c>
      <c r="Q209" s="3">
        <v>112564.75</v>
      </c>
    </row>
    <row r="210" spans="1:17">
      <c r="A210" s="3" t="s">
        <v>74</v>
      </c>
      <c r="B210" s="5">
        <v>45658</v>
      </c>
      <c r="C210" s="3" t="s">
        <v>18</v>
      </c>
      <c r="D210" s="3" t="s">
        <v>15</v>
      </c>
      <c r="E210" s="4">
        <f t="shared" si="9"/>
        <v>0</v>
      </c>
      <c r="F210" s="4">
        <f t="shared" si="10"/>
        <v>1</v>
      </c>
      <c r="G210" s="4">
        <f t="shared" si="11"/>
        <v>0</v>
      </c>
      <c r="H210" s="3">
        <v>63457.19</v>
      </c>
      <c r="I210" s="3">
        <v>10125</v>
      </c>
      <c r="J210" s="3">
        <v>9.7000000000000003E-2</v>
      </c>
      <c r="K210" s="3">
        <v>24</v>
      </c>
      <c r="L210" s="3">
        <v>87</v>
      </c>
      <c r="M210" s="3">
        <v>3.84</v>
      </c>
      <c r="N210" s="3">
        <v>1</v>
      </c>
      <c r="O210" s="3">
        <v>3.7</v>
      </c>
      <c r="P210" s="3">
        <v>810446.53</v>
      </c>
      <c r="Q210" s="3">
        <v>200575.34</v>
      </c>
    </row>
    <row r="211" spans="1:17">
      <c r="A211" s="3" t="s">
        <v>74</v>
      </c>
      <c r="B211" s="5">
        <v>45689</v>
      </c>
      <c r="C211" s="3" t="s">
        <v>18</v>
      </c>
      <c r="D211" s="3" t="s">
        <v>15</v>
      </c>
      <c r="E211" s="4">
        <f t="shared" si="9"/>
        <v>0</v>
      </c>
      <c r="F211" s="4">
        <f t="shared" si="10"/>
        <v>1</v>
      </c>
      <c r="G211" s="4">
        <f t="shared" si="11"/>
        <v>0</v>
      </c>
      <c r="H211" s="3">
        <v>62949.7</v>
      </c>
      <c r="I211" s="3">
        <v>9458</v>
      </c>
      <c r="J211" s="3">
        <v>0.17100000000000001</v>
      </c>
      <c r="K211" s="3">
        <v>19</v>
      </c>
      <c r="L211" s="3">
        <v>84.9</v>
      </c>
      <c r="M211" s="3">
        <v>5.09</v>
      </c>
      <c r="N211" s="3">
        <v>0</v>
      </c>
      <c r="O211" s="3">
        <v>3.3</v>
      </c>
      <c r="P211" s="3">
        <v>691288.19</v>
      </c>
      <c r="Q211" s="3">
        <v>159074.14000000001</v>
      </c>
    </row>
    <row r="212" spans="1:17">
      <c r="A212" s="3" t="s">
        <v>74</v>
      </c>
      <c r="B212" s="5">
        <v>45717</v>
      </c>
      <c r="C212" s="3" t="s">
        <v>18</v>
      </c>
      <c r="D212" s="3" t="s">
        <v>15</v>
      </c>
      <c r="E212" s="4">
        <f t="shared" si="9"/>
        <v>0</v>
      </c>
      <c r="F212" s="4">
        <f t="shared" si="10"/>
        <v>1</v>
      </c>
      <c r="G212" s="4">
        <f t="shared" si="11"/>
        <v>0</v>
      </c>
      <c r="H212" s="3">
        <v>107970.19</v>
      </c>
      <c r="I212" s="3">
        <v>12870</v>
      </c>
      <c r="J212" s="3">
        <v>2.9000000000000001E-2</v>
      </c>
      <c r="K212" s="3">
        <v>31</v>
      </c>
      <c r="L212" s="3">
        <v>91.7</v>
      </c>
      <c r="M212" s="3">
        <v>3.82</v>
      </c>
      <c r="N212" s="3">
        <v>1</v>
      </c>
      <c r="O212" s="3">
        <v>3.7</v>
      </c>
      <c r="P212" s="3">
        <v>946833.54</v>
      </c>
      <c r="Q212" s="3">
        <v>184540.31</v>
      </c>
    </row>
    <row r="213" spans="1:17">
      <c r="A213" s="3" t="s">
        <v>74</v>
      </c>
      <c r="B213" s="5">
        <v>45748</v>
      </c>
      <c r="C213" s="3" t="s">
        <v>18</v>
      </c>
      <c r="D213" s="3" t="s">
        <v>15</v>
      </c>
      <c r="E213" s="4">
        <f t="shared" si="9"/>
        <v>0</v>
      </c>
      <c r="F213" s="4">
        <f t="shared" si="10"/>
        <v>1</v>
      </c>
      <c r="G213" s="4">
        <f t="shared" si="11"/>
        <v>0</v>
      </c>
      <c r="H213" s="3">
        <v>49405.75</v>
      </c>
      <c r="I213" s="3">
        <v>9752</v>
      </c>
      <c r="J213" s="3">
        <v>9.2999999999999999E-2</v>
      </c>
      <c r="K213" s="3">
        <v>21</v>
      </c>
      <c r="L213" s="3">
        <v>87</v>
      </c>
      <c r="M213" s="3">
        <v>12.28</v>
      </c>
      <c r="N213" s="3">
        <v>0</v>
      </c>
      <c r="O213" s="3">
        <v>4.0999999999999996</v>
      </c>
      <c r="P213" s="3">
        <v>761963.23</v>
      </c>
      <c r="Q213" s="3">
        <v>150113.60999999999</v>
      </c>
    </row>
    <row r="214" spans="1:17">
      <c r="A214" s="3" t="s">
        <v>75</v>
      </c>
      <c r="B214" s="5">
        <v>45658</v>
      </c>
      <c r="C214" s="3" t="s">
        <v>16</v>
      </c>
      <c r="D214" s="3" t="s">
        <v>27</v>
      </c>
      <c r="E214" s="4">
        <f t="shared" si="9"/>
        <v>0</v>
      </c>
      <c r="F214" s="4">
        <f t="shared" si="10"/>
        <v>0</v>
      </c>
      <c r="G214" s="4">
        <f t="shared" si="11"/>
        <v>1</v>
      </c>
      <c r="H214" s="3">
        <v>50887.46</v>
      </c>
      <c r="I214" s="3">
        <v>9505</v>
      </c>
      <c r="J214" s="3">
        <v>9.0999999999999998E-2</v>
      </c>
      <c r="K214" s="3">
        <v>25</v>
      </c>
      <c r="L214" s="3">
        <v>89.7</v>
      </c>
      <c r="M214" s="3">
        <v>2.8</v>
      </c>
      <c r="N214" s="3">
        <v>0</v>
      </c>
      <c r="O214" s="3">
        <v>4.3</v>
      </c>
      <c r="P214" s="3">
        <v>812152.6</v>
      </c>
      <c r="Q214" s="3">
        <v>138419.43</v>
      </c>
    </row>
    <row r="215" spans="1:17">
      <c r="A215" s="3" t="s">
        <v>75</v>
      </c>
      <c r="B215" s="5">
        <v>45689</v>
      </c>
      <c r="C215" s="3" t="s">
        <v>16</v>
      </c>
      <c r="D215" s="3" t="s">
        <v>27</v>
      </c>
      <c r="E215" s="4">
        <f t="shared" si="9"/>
        <v>0</v>
      </c>
      <c r="F215" s="4">
        <f t="shared" si="10"/>
        <v>0</v>
      </c>
      <c r="G215" s="4">
        <f t="shared" si="11"/>
        <v>1</v>
      </c>
      <c r="H215" s="3">
        <v>41819.449999999997</v>
      </c>
      <c r="I215" s="3">
        <v>9412</v>
      </c>
      <c r="J215" s="3">
        <v>0.15</v>
      </c>
      <c r="K215" s="3">
        <v>22</v>
      </c>
      <c r="L215" s="3">
        <v>91</v>
      </c>
      <c r="M215" s="3">
        <v>3.67</v>
      </c>
      <c r="N215" s="3">
        <v>0</v>
      </c>
      <c r="O215" s="3">
        <v>4.2</v>
      </c>
      <c r="P215" s="3">
        <v>804975.5</v>
      </c>
      <c r="Q215" s="3">
        <v>140054.5</v>
      </c>
    </row>
    <row r="216" spans="1:17">
      <c r="A216" s="3" t="s">
        <v>75</v>
      </c>
      <c r="B216" s="5">
        <v>45717</v>
      </c>
      <c r="C216" s="3" t="s">
        <v>16</v>
      </c>
      <c r="D216" s="3" t="s">
        <v>27</v>
      </c>
      <c r="E216" s="4">
        <f t="shared" si="9"/>
        <v>0</v>
      </c>
      <c r="F216" s="4">
        <f t="shared" si="10"/>
        <v>0</v>
      </c>
      <c r="G216" s="4">
        <f t="shared" si="11"/>
        <v>1</v>
      </c>
      <c r="H216" s="3">
        <v>35296.54</v>
      </c>
      <c r="I216" s="3">
        <v>9644</v>
      </c>
      <c r="J216" s="3">
        <v>0</v>
      </c>
      <c r="K216" s="3">
        <v>22</v>
      </c>
      <c r="L216" s="3">
        <v>88</v>
      </c>
      <c r="M216" s="3">
        <v>2.81</v>
      </c>
      <c r="N216" s="3">
        <v>0</v>
      </c>
      <c r="O216" s="3">
        <v>4.7</v>
      </c>
      <c r="P216" s="3">
        <v>752321.72</v>
      </c>
      <c r="Q216" s="3">
        <v>137788.51</v>
      </c>
    </row>
    <row r="217" spans="1:17">
      <c r="A217" s="3" t="s">
        <v>75</v>
      </c>
      <c r="B217" s="5">
        <v>45748</v>
      </c>
      <c r="C217" s="3" t="s">
        <v>16</v>
      </c>
      <c r="D217" s="3" t="s">
        <v>27</v>
      </c>
      <c r="E217" s="4">
        <f t="shared" si="9"/>
        <v>0</v>
      </c>
      <c r="F217" s="4">
        <f t="shared" si="10"/>
        <v>0</v>
      </c>
      <c r="G217" s="4">
        <f t="shared" si="11"/>
        <v>1</v>
      </c>
      <c r="H217" s="3">
        <v>47391.09</v>
      </c>
      <c r="I217" s="3">
        <v>11224</v>
      </c>
      <c r="J217" s="3">
        <v>0.14699999999999999</v>
      </c>
      <c r="K217" s="3">
        <v>25</v>
      </c>
      <c r="L217" s="3">
        <v>88.4</v>
      </c>
      <c r="M217" s="3">
        <v>2.44</v>
      </c>
      <c r="N217" s="3">
        <v>0</v>
      </c>
      <c r="O217" s="3">
        <v>4.9000000000000004</v>
      </c>
      <c r="P217" s="3">
        <v>836908.24</v>
      </c>
      <c r="Q217" s="3">
        <v>141090.26</v>
      </c>
    </row>
    <row r="218" spans="1:17">
      <c r="A218" s="3" t="s">
        <v>76</v>
      </c>
      <c r="B218" s="5">
        <v>45658</v>
      </c>
      <c r="C218" s="3" t="s">
        <v>21</v>
      </c>
      <c r="D218" s="3" t="s">
        <v>20</v>
      </c>
      <c r="E218" s="4">
        <f t="shared" si="9"/>
        <v>0</v>
      </c>
      <c r="F218" s="4">
        <f t="shared" si="10"/>
        <v>0</v>
      </c>
      <c r="G218" s="4">
        <f t="shared" si="11"/>
        <v>0</v>
      </c>
      <c r="H218" s="3">
        <v>69180.539999999994</v>
      </c>
      <c r="I218" s="3">
        <v>5394</v>
      </c>
      <c r="J218" s="3">
        <v>0.126</v>
      </c>
      <c r="K218" s="3">
        <v>12</v>
      </c>
      <c r="L218" s="3">
        <v>82.9</v>
      </c>
      <c r="M218" s="3">
        <v>3.27</v>
      </c>
      <c r="N218" s="3">
        <v>0</v>
      </c>
      <c r="O218" s="3">
        <v>3.3</v>
      </c>
      <c r="P218" s="3">
        <v>674289.1</v>
      </c>
      <c r="Q218" s="3">
        <v>117773.79</v>
      </c>
    </row>
    <row r="219" spans="1:17">
      <c r="A219" s="3" t="s">
        <v>76</v>
      </c>
      <c r="B219" s="5">
        <v>45689</v>
      </c>
      <c r="C219" s="3" t="s">
        <v>21</v>
      </c>
      <c r="D219" s="3" t="s">
        <v>20</v>
      </c>
      <c r="E219" s="4">
        <f t="shared" si="9"/>
        <v>0</v>
      </c>
      <c r="F219" s="4">
        <f t="shared" si="10"/>
        <v>0</v>
      </c>
      <c r="G219" s="4">
        <f t="shared" si="11"/>
        <v>0</v>
      </c>
      <c r="H219" s="3">
        <v>33987.33</v>
      </c>
      <c r="I219" s="3">
        <v>5014</v>
      </c>
      <c r="J219" s="3">
        <v>0.246</v>
      </c>
      <c r="K219" s="3">
        <v>17</v>
      </c>
      <c r="L219" s="3">
        <v>94.3</v>
      </c>
      <c r="M219" s="3">
        <v>10.34</v>
      </c>
      <c r="N219" s="3">
        <v>0</v>
      </c>
      <c r="O219" s="3">
        <v>3.9</v>
      </c>
      <c r="P219" s="3">
        <v>622892.42000000004</v>
      </c>
      <c r="Q219" s="3">
        <v>101032.52</v>
      </c>
    </row>
    <row r="220" spans="1:17">
      <c r="A220" s="3" t="s">
        <v>76</v>
      </c>
      <c r="B220" s="5">
        <v>45717</v>
      </c>
      <c r="C220" s="3" t="s">
        <v>21</v>
      </c>
      <c r="D220" s="3" t="s">
        <v>20</v>
      </c>
      <c r="E220" s="4">
        <f t="shared" si="9"/>
        <v>0</v>
      </c>
      <c r="F220" s="4">
        <f t="shared" si="10"/>
        <v>0</v>
      </c>
      <c r="G220" s="4">
        <f t="shared" si="11"/>
        <v>0</v>
      </c>
      <c r="H220" s="3">
        <v>58785.33</v>
      </c>
      <c r="I220" s="3">
        <v>4467</v>
      </c>
      <c r="J220" s="3">
        <v>0.22900000000000001</v>
      </c>
      <c r="K220" s="3">
        <v>14</v>
      </c>
      <c r="L220" s="3">
        <v>90.7</v>
      </c>
      <c r="M220" s="3">
        <v>1.92</v>
      </c>
      <c r="N220" s="3">
        <v>0</v>
      </c>
      <c r="O220" s="3">
        <v>3.7</v>
      </c>
      <c r="P220" s="3">
        <v>673348.56</v>
      </c>
      <c r="Q220" s="3">
        <v>69464.59</v>
      </c>
    </row>
    <row r="221" spans="1:17">
      <c r="A221" s="3" t="s">
        <v>76</v>
      </c>
      <c r="B221" s="5">
        <v>45748</v>
      </c>
      <c r="C221" s="3" t="s">
        <v>21</v>
      </c>
      <c r="D221" s="3" t="s">
        <v>20</v>
      </c>
      <c r="E221" s="4">
        <f t="shared" si="9"/>
        <v>0</v>
      </c>
      <c r="F221" s="4">
        <f t="shared" si="10"/>
        <v>0</v>
      </c>
      <c r="G221" s="4">
        <f t="shared" si="11"/>
        <v>0</v>
      </c>
      <c r="H221" s="3">
        <v>16451.849999999999</v>
      </c>
      <c r="I221" s="3">
        <v>4678</v>
      </c>
      <c r="J221" s="3">
        <v>0.13300000000000001</v>
      </c>
      <c r="K221" s="3">
        <v>11</v>
      </c>
      <c r="L221" s="3">
        <v>95.9</v>
      </c>
      <c r="M221" s="3">
        <v>3.1</v>
      </c>
      <c r="N221" s="3">
        <v>0</v>
      </c>
      <c r="O221" s="3">
        <v>3.9</v>
      </c>
      <c r="P221" s="3">
        <v>606278.30000000005</v>
      </c>
      <c r="Q221" s="3">
        <v>102213.26</v>
      </c>
    </row>
    <row r="222" spans="1:17">
      <c r="A222" s="3" t="s">
        <v>77</v>
      </c>
      <c r="B222" s="5">
        <v>45658</v>
      </c>
      <c r="C222" s="3" t="s">
        <v>18</v>
      </c>
      <c r="D222" s="3" t="s">
        <v>15</v>
      </c>
      <c r="E222" s="4">
        <f t="shared" si="9"/>
        <v>0</v>
      </c>
      <c r="F222" s="4">
        <f t="shared" si="10"/>
        <v>1</v>
      </c>
      <c r="G222" s="4">
        <f t="shared" si="11"/>
        <v>0</v>
      </c>
      <c r="H222" s="3">
        <v>53367.73</v>
      </c>
      <c r="I222" s="3">
        <v>7291</v>
      </c>
      <c r="J222" s="3">
        <v>0.14599999999999999</v>
      </c>
      <c r="K222" s="3">
        <v>18</v>
      </c>
      <c r="L222" s="3">
        <v>90.6</v>
      </c>
      <c r="M222" s="3">
        <v>6.34</v>
      </c>
      <c r="N222" s="3">
        <v>1</v>
      </c>
      <c r="O222" s="3">
        <v>3.8</v>
      </c>
      <c r="P222" s="3">
        <v>712219.81</v>
      </c>
      <c r="Q222" s="3">
        <v>85906.54</v>
      </c>
    </row>
    <row r="223" spans="1:17">
      <c r="A223" s="3" t="s">
        <v>77</v>
      </c>
      <c r="B223" s="5">
        <v>45689</v>
      </c>
      <c r="C223" s="3" t="s">
        <v>18</v>
      </c>
      <c r="D223" s="3" t="s">
        <v>15</v>
      </c>
      <c r="E223" s="4">
        <f t="shared" si="9"/>
        <v>0</v>
      </c>
      <c r="F223" s="4">
        <f t="shared" si="10"/>
        <v>1</v>
      </c>
      <c r="G223" s="4">
        <f t="shared" si="11"/>
        <v>0</v>
      </c>
      <c r="H223" s="3">
        <v>27194.639999999999</v>
      </c>
      <c r="I223" s="3">
        <v>7404</v>
      </c>
      <c r="J223" s="3">
        <v>8.7999999999999995E-2</v>
      </c>
      <c r="K223" s="3">
        <v>18</v>
      </c>
      <c r="L223" s="3">
        <v>90.2</v>
      </c>
      <c r="M223" s="3">
        <v>1.2</v>
      </c>
      <c r="N223" s="3">
        <v>0</v>
      </c>
      <c r="O223" s="3">
        <v>3.4</v>
      </c>
      <c r="P223" s="3">
        <v>672670.54</v>
      </c>
      <c r="Q223" s="3">
        <v>132684.18</v>
      </c>
    </row>
    <row r="224" spans="1:17">
      <c r="A224" s="3" t="s">
        <v>77</v>
      </c>
      <c r="B224" s="5">
        <v>45717</v>
      </c>
      <c r="C224" s="3" t="s">
        <v>18</v>
      </c>
      <c r="D224" s="3" t="s">
        <v>15</v>
      </c>
      <c r="E224" s="4">
        <f t="shared" si="9"/>
        <v>0</v>
      </c>
      <c r="F224" s="4">
        <f t="shared" si="10"/>
        <v>1</v>
      </c>
      <c r="G224" s="4">
        <f t="shared" si="11"/>
        <v>0</v>
      </c>
      <c r="H224" s="3">
        <v>66962.740000000005</v>
      </c>
      <c r="I224" s="3">
        <v>7880</v>
      </c>
      <c r="J224" s="3">
        <v>0.11600000000000001</v>
      </c>
      <c r="K224" s="3">
        <v>19</v>
      </c>
      <c r="L224" s="3">
        <v>90.4</v>
      </c>
      <c r="M224" s="3">
        <v>4.5</v>
      </c>
      <c r="N224" s="3">
        <v>0</v>
      </c>
      <c r="O224" s="3">
        <v>3.3</v>
      </c>
      <c r="P224" s="3">
        <v>732667.92</v>
      </c>
      <c r="Q224" s="3">
        <v>128654.46</v>
      </c>
    </row>
    <row r="225" spans="1:17">
      <c r="A225" s="3" t="s">
        <v>77</v>
      </c>
      <c r="B225" s="5">
        <v>45748</v>
      </c>
      <c r="C225" s="3" t="s">
        <v>18</v>
      </c>
      <c r="D225" s="3" t="s">
        <v>15</v>
      </c>
      <c r="E225" s="4">
        <f t="shared" si="9"/>
        <v>0</v>
      </c>
      <c r="F225" s="4">
        <f t="shared" si="10"/>
        <v>1</v>
      </c>
      <c r="G225" s="4">
        <f t="shared" si="11"/>
        <v>0</v>
      </c>
      <c r="H225" s="3">
        <v>73540.990000000005</v>
      </c>
      <c r="I225" s="3">
        <v>8773</v>
      </c>
      <c r="J225" s="3">
        <v>3.5000000000000003E-2</v>
      </c>
      <c r="K225" s="3">
        <v>21</v>
      </c>
      <c r="L225" s="3">
        <v>84.4</v>
      </c>
      <c r="M225" s="3">
        <v>6.68</v>
      </c>
      <c r="N225" s="3">
        <v>0</v>
      </c>
      <c r="O225" s="3">
        <v>3.6</v>
      </c>
      <c r="P225" s="3">
        <v>723531.4</v>
      </c>
      <c r="Q225" s="3">
        <v>108794.85</v>
      </c>
    </row>
    <row r="226" spans="1:17">
      <c r="A226" s="3" t="s">
        <v>78</v>
      </c>
      <c r="B226" s="5">
        <v>45658</v>
      </c>
      <c r="C226" s="3" t="s">
        <v>28</v>
      </c>
      <c r="D226" s="3" t="s">
        <v>15</v>
      </c>
      <c r="E226" s="4">
        <f t="shared" si="9"/>
        <v>0</v>
      </c>
      <c r="F226" s="4">
        <f t="shared" si="10"/>
        <v>1</v>
      </c>
      <c r="G226" s="4">
        <f t="shared" si="11"/>
        <v>0</v>
      </c>
      <c r="H226" s="3">
        <v>68212.289999999994</v>
      </c>
      <c r="I226" s="3">
        <v>4713</v>
      </c>
      <c r="J226" s="3">
        <v>0.19800000000000001</v>
      </c>
      <c r="K226" s="3">
        <v>15</v>
      </c>
      <c r="L226" s="3">
        <v>82.6</v>
      </c>
      <c r="M226" s="3">
        <v>4.07</v>
      </c>
      <c r="N226" s="3">
        <v>1</v>
      </c>
      <c r="O226" s="3">
        <v>3</v>
      </c>
      <c r="P226" s="3">
        <v>641564.6</v>
      </c>
      <c r="Q226" s="3">
        <v>90468.96</v>
      </c>
    </row>
    <row r="227" spans="1:17">
      <c r="A227" s="3" t="s">
        <v>78</v>
      </c>
      <c r="B227" s="5">
        <v>45689</v>
      </c>
      <c r="C227" s="3" t="s">
        <v>28</v>
      </c>
      <c r="D227" s="3" t="s">
        <v>15</v>
      </c>
      <c r="E227" s="4">
        <f t="shared" si="9"/>
        <v>0</v>
      </c>
      <c r="F227" s="4">
        <f t="shared" si="10"/>
        <v>1</v>
      </c>
      <c r="G227" s="4">
        <f t="shared" si="11"/>
        <v>0</v>
      </c>
      <c r="H227" s="3">
        <v>57225.98</v>
      </c>
      <c r="I227" s="3">
        <v>2842</v>
      </c>
      <c r="J227" s="3">
        <v>0.112</v>
      </c>
      <c r="K227" s="3">
        <v>10</v>
      </c>
      <c r="L227" s="3">
        <v>79.5</v>
      </c>
      <c r="M227" s="3">
        <v>5.45</v>
      </c>
      <c r="N227" s="3">
        <v>0</v>
      </c>
      <c r="O227" s="3">
        <v>3.4</v>
      </c>
      <c r="P227" s="3">
        <v>536545.49</v>
      </c>
      <c r="Q227" s="3">
        <v>97917.45</v>
      </c>
    </row>
    <row r="228" spans="1:17">
      <c r="A228" s="3" t="s">
        <v>78</v>
      </c>
      <c r="B228" s="5">
        <v>45717</v>
      </c>
      <c r="C228" s="3" t="s">
        <v>28</v>
      </c>
      <c r="D228" s="3" t="s">
        <v>15</v>
      </c>
      <c r="E228" s="4">
        <f t="shared" si="9"/>
        <v>0</v>
      </c>
      <c r="F228" s="4">
        <f t="shared" si="10"/>
        <v>1</v>
      </c>
      <c r="G228" s="4">
        <f t="shared" si="11"/>
        <v>0</v>
      </c>
      <c r="H228" s="3">
        <v>42932.02</v>
      </c>
      <c r="I228" s="3">
        <v>3872</v>
      </c>
      <c r="J228" s="3">
        <v>0.17100000000000001</v>
      </c>
      <c r="K228" s="3">
        <v>12</v>
      </c>
      <c r="L228" s="3">
        <v>83.2</v>
      </c>
      <c r="M228" s="3">
        <v>15.58</v>
      </c>
      <c r="N228" s="3">
        <v>0</v>
      </c>
      <c r="O228" s="3">
        <v>3.3</v>
      </c>
      <c r="P228" s="3">
        <v>527681.56000000006</v>
      </c>
      <c r="Q228" s="3">
        <v>63153.05</v>
      </c>
    </row>
    <row r="229" spans="1:17">
      <c r="A229" s="3" t="s">
        <v>78</v>
      </c>
      <c r="B229" s="5">
        <v>45748</v>
      </c>
      <c r="C229" s="3" t="s">
        <v>28</v>
      </c>
      <c r="D229" s="3" t="s">
        <v>15</v>
      </c>
      <c r="E229" s="4">
        <f t="shared" si="9"/>
        <v>0</v>
      </c>
      <c r="F229" s="4">
        <f t="shared" si="10"/>
        <v>1</v>
      </c>
      <c r="G229" s="4">
        <f t="shared" si="11"/>
        <v>0</v>
      </c>
      <c r="H229" s="3">
        <v>39341.449999999997</v>
      </c>
      <c r="I229" s="3">
        <v>1375</v>
      </c>
      <c r="J229" s="3">
        <v>9.2999999999999999E-2</v>
      </c>
      <c r="K229" s="3">
        <v>5</v>
      </c>
      <c r="L229" s="3">
        <v>95</v>
      </c>
      <c r="M229" s="3">
        <v>5.32</v>
      </c>
      <c r="N229" s="3">
        <v>0</v>
      </c>
      <c r="O229" s="4">
        <v>0</v>
      </c>
      <c r="P229" s="3">
        <v>529598.93999999994</v>
      </c>
      <c r="Q229" s="3">
        <v>84334.33</v>
      </c>
    </row>
    <row r="230" spans="1:17">
      <c r="A230" s="3" t="s">
        <v>79</v>
      </c>
      <c r="B230" s="5">
        <v>45658</v>
      </c>
      <c r="C230" s="3" t="s">
        <v>18</v>
      </c>
      <c r="D230" s="3" t="s">
        <v>15</v>
      </c>
      <c r="E230" s="4">
        <f t="shared" si="9"/>
        <v>0</v>
      </c>
      <c r="F230" s="4">
        <f t="shared" si="10"/>
        <v>1</v>
      </c>
      <c r="G230" s="4">
        <f t="shared" si="11"/>
        <v>0</v>
      </c>
      <c r="H230" s="3">
        <v>37324.230000000003</v>
      </c>
      <c r="I230" s="3">
        <v>5957</v>
      </c>
      <c r="J230" s="3">
        <v>7.0999999999999994E-2</v>
      </c>
      <c r="K230" s="3">
        <v>12</v>
      </c>
      <c r="L230" s="3">
        <v>85.9</v>
      </c>
      <c r="M230" s="3">
        <v>0.37</v>
      </c>
      <c r="N230" s="3">
        <v>0</v>
      </c>
      <c r="O230" s="3">
        <v>3.8</v>
      </c>
      <c r="P230" s="3">
        <v>570963.31000000006</v>
      </c>
      <c r="Q230" s="3">
        <v>87342.25</v>
      </c>
    </row>
    <row r="231" spans="1:17">
      <c r="A231" s="3" t="s">
        <v>79</v>
      </c>
      <c r="B231" s="5">
        <v>45689</v>
      </c>
      <c r="C231" s="3" t="s">
        <v>18</v>
      </c>
      <c r="D231" s="3" t="s">
        <v>15</v>
      </c>
      <c r="E231" s="4">
        <f t="shared" si="9"/>
        <v>0</v>
      </c>
      <c r="F231" s="4">
        <f t="shared" si="10"/>
        <v>1</v>
      </c>
      <c r="G231" s="4">
        <f t="shared" si="11"/>
        <v>0</v>
      </c>
      <c r="H231" s="3">
        <v>113736</v>
      </c>
      <c r="I231" s="3">
        <v>8961</v>
      </c>
      <c r="J231" s="3">
        <v>0.20200000000000001</v>
      </c>
      <c r="K231" s="3">
        <v>24</v>
      </c>
      <c r="L231" s="3">
        <v>86.2</v>
      </c>
      <c r="M231" s="3">
        <v>21.63</v>
      </c>
      <c r="N231" s="3">
        <v>0</v>
      </c>
      <c r="O231" s="3">
        <v>4</v>
      </c>
      <c r="P231" s="3">
        <v>870937.4</v>
      </c>
      <c r="Q231" s="3">
        <v>175282.74</v>
      </c>
    </row>
    <row r="232" spans="1:17">
      <c r="A232" s="3" t="s">
        <v>79</v>
      </c>
      <c r="B232" s="5">
        <v>45717</v>
      </c>
      <c r="C232" s="3" t="s">
        <v>18</v>
      </c>
      <c r="D232" s="3" t="s">
        <v>15</v>
      </c>
      <c r="E232" s="4">
        <f t="shared" si="9"/>
        <v>0</v>
      </c>
      <c r="F232" s="4">
        <f t="shared" si="10"/>
        <v>1</v>
      </c>
      <c r="G232" s="4">
        <f t="shared" si="11"/>
        <v>0</v>
      </c>
      <c r="H232" s="3">
        <v>33173.949999999997</v>
      </c>
      <c r="I232" s="3">
        <v>6545</v>
      </c>
      <c r="J232" s="3">
        <v>0.16900000000000001</v>
      </c>
      <c r="K232" s="3">
        <v>15</v>
      </c>
      <c r="L232" s="3">
        <v>84.4</v>
      </c>
      <c r="M232" s="3">
        <v>2.48</v>
      </c>
      <c r="N232" s="3">
        <v>0</v>
      </c>
      <c r="O232" s="3">
        <v>3.9</v>
      </c>
      <c r="P232" s="3">
        <v>596969.27</v>
      </c>
      <c r="Q232" s="3">
        <v>105669.51</v>
      </c>
    </row>
    <row r="233" spans="1:17">
      <c r="A233" s="3" t="s">
        <v>79</v>
      </c>
      <c r="B233" s="5">
        <v>45748</v>
      </c>
      <c r="C233" s="3" t="s">
        <v>18</v>
      </c>
      <c r="D233" s="3" t="s">
        <v>15</v>
      </c>
      <c r="E233" s="4">
        <f t="shared" si="9"/>
        <v>0</v>
      </c>
      <c r="F233" s="4">
        <f t="shared" si="10"/>
        <v>1</v>
      </c>
      <c r="G233" s="4">
        <f t="shared" si="11"/>
        <v>0</v>
      </c>
      <c r="H233" s="3">
        <v>25818.080000000002</v>
      </c>
      <c r="I233" s="3">
        <v>5457</v>
      </c>
      <c r="J233" s="3">
        <v>0</v>
      </c>
      <c r="K233" s="3">
        <v>11</v>
      </c>
      <c r="L233" s="3">
        <v>95.4</v>
      </c>
      <c r="M233" s="4">
        <v>0</v>
      </c>
      <c r="N233" s="3">
        <v>0</v>
      </c>
      <c r="O233" s="3">
        <v>3.7</v>
      </c>
      <c r="P233" s="3">
        <v>647512.85</v>
      </c>
      <c r="Q233" s="3">
        <v>153835.57</v>
      </c>
    </row>
    <row r="234" spans="1:17">
      <c r="A234" s="3" t="s">
        <v>80</v>
      </c>
      <c r="B234" s="5">
        <v>45658</v>
      </c>
      <c r="C234" s="3" t="s">
        <v>16</v>
      </c>
      <c r="D234" s="3" t="s">
        <v>27</v>
      </c>
      <c r="E234" s="4">
        <f t="shared" si="9"/>
        <v>0</v>
      </c>
      <c r="F234" s="4">
        <f t="shared" si="10"/>
        <v>0</v>
      </c>
      <c r="G234" s="4">
        <f t="shared" si="11"/>
        <v>1</v>
      </c>
      <c r="H234" s="3">
        <v>47241.919999999998</v>
      </c>
      <c r="I234" s="3">
        <v>4264</v>
      </c>
      <c r="J234" s="3">
        <v>6.9000000000000006E-2</v>
      </c>
      <c r="K234" s="3">
        <v>13</v>
      </c>
      <c r="L234" s="3">
        <v>95.3</v>
      </c>
      <c r="M234" s="3">
        <v>0.85</v>
      </c>
      <c r="N234" s="3">
        <v>0</v>
      </c>
      <c r="O234" s="3">
        <v>4.3</v>
      </c>
      <c r="P234" s="3">
        <v>658072.14</v>
      </c>
      <c r="Q234" s="3">
        <v>110595.89</v>
      </c>
    </row>
    <row r="235" spans="1:17">
      <c r="A235" s="3" t="s">
        <v>80</v>
      </c>
      <c r="B235" s="5">
        <v>45689</v>
      </c>
      <c r="C235" s="3" t="s">
        <v>16</v>
      </c>
      <c r="D235" s="3" t="s">
        <v>27</v>
      </c>
      <c r="E235" s="4">
        <f t="shared" si="9"/>
        <v>0</v>
      </c>
      <c r="F235" s="4">
        <f t="shared" si="10"/>
        <v>0</v>
      </c>
      <c r="G235" s="4">
        <f t="shared" si="11"/>
        <v>1</v>
      </c>
      <c r="H235" s="3">
        <v>61650.79</v>
      </c>
      <c r="I235" s="3">
        <v>5321</v>
      </c>
      <c r="J235" s="3">
        <v>0.126</v>
      </c>
      <c r="K235" s="3">
        <v>17</v>
      </c>
      <c r="L235" s="3">
        <v>89.2</v>
      </c>
      <c r="M235" s="3">
        <v>2.13</v>
      </c>
      <c r="N235" s="3">
        <v>0</v>
      </c>
      <c r="O235" s="3">
        <v>4</v>
      </c>
      <c r="P235" s="3">
        <v>723305.11</v>
      </c>
      <c r="Q235" s="3">
        <v>128468.7</v>
      </c>
    </row>
    <row r="236" spans="1:17">
      <c r="A236" s="3" t="s">
        <v>80</v>
      </c>
      <c r="B236" s="5">
        <v>45717</v>
      </c>
      <c r="C236" s="3" t="s">
        <v>16</v>
      </c>
      <c r="D236" s="3" t="s">
        <v>27</v>
      </c>
      <c r="E236" s="4">
        <f t="shared" si="9"/>
        <v>0</v>
      </c>
      <c r="F236" s="4">
        <f t="shared" si="10"/>
        <v>0</v>
      </c>
      <c r="G236" s="4">
        <f t="shared" si="11"/>
        <v>1</v>
      </c>
      <c r="H236" s="3">
        <v>62582.71</v>
      </c>
      <c r="I236" s="3">
        <v>5479</v>
      </c>
      <c r="J236" s="3">
        <v>4.8000000000000001E-2</v>
      </c>
      <c r="K236" s="3">
        <v>16</v>
      </c>
      <c r="L236" s="3">
        <v>81.2</v>
      </c>
      <c r="M236" s="3">
        <v>1.46</v>
      </c>
      <c r="N236" s="3">
        <v>0</v>
      </c>
      <c r="O236" s="3">
        <v>4.5</v>
      </c>
      <c r="P236" s="3">
        <v>640666.53</v>
      </c>
      <c r="Q236" s="3">
        <v>134919.16</v>
      </c>
    </row>
    <row r="237" spans="1:17">
      <c r="A237" s="3" t="s">
        <v>80</v>
      </c>
      <c r="B237" s="5">
        <v>45748</v>
      </c>
      <c r="C237" s="3" t="s">
        <v>16</v>
      </c>
      <c r="D237" s="3" t="s">
        <v>27</v>
      </c>
      <c r="E237" s="4">
        <f t="shared" si="9"/>
        <v>0</v>
      </c>
      <c r="F237" s="4">
        <f t="shared" si="10"/>
        <v>0</v>
      </c>
      <c r="G237" s="4">
        <f t="shared" si="11"/>
        <v>1</v>
      </c>
      <c r="H237" s="3">
        <v>47944.14</v>
      </c>
      <c r="I237" s="3">
        <v>6169</v>
      </c>
      <c r="J237" s="3">
        <v>0.11899999999999999</v>
      </c>
      <c r="K237" s="3">
        <v>17</v>
      </c>
      <c r="L237" s="3">
        <v>92.2</v>
      </c>
      <c r="M237" s="3">
        <v>3.02</v>
      </c>
      <c r="N237" s="3">
        <v>0</v>
      </c>
      <c r="O237" s="3">
        <v>4.0999999999999996</v>
      </c>
      <c r="P237" s="3">
        <v>670629.48</v>
      </c>
      <c r="Q237" s="3">
        <v>100140.8</v>
      </c>
    </row>
    <row r="238" spans="1:17">
      <c r="A238" s="3" t="s">
        <v>81</v>
      </c>
      <c r="B238" s="5">
        <v>45658</v>
      </c>
      <c r="C238" s="3" t="s">
        <v>28</v>
      </c>
      <c r="D238" s="3" t="s">
        <v>27</v>
      </c>
      <c r="E238" s="4">
        <f t="shared" si="9"/>
        <v>0</v>
      </c>
      <c r="F238" s="4">
        <f t="shared" si="10"/>
        <v>0</v>
      </c>
      <c r="G238" s="4">
        <f t="shared" si="11"/>
        <v>1</v>
      </c>
      <c r="H238" s="3">
        <v>46495.4</v>
      </c>
      <c r="I238" s="3">
        <v>9908</v>
      </c>
      <c r="J238" s="3">
        <v>0.121</v>
      </c>
      <c r="K238" s="3">
        <v>22</v>
      </c>
      <c r="L238" s="3">
        <v>89.4</v>
      </c>
      <c r="M238" s="3">
        <v>3.22</v>
      </c>
      <c r="N238" s="3">
        <v>0</v>
      </c>
      <c r="O238" s="3">
        <v>3.7</v>
      </c>
      <c r="P238" s="3">
        <v>721079.35</v>
      </c>
      <c r="Q238" s="3">
        <v>115295.05</v>
      </c>
    </row>
    <row r="239" spans="1:17">
      <c r="A239" s="3" t="s">
        <v>81</v>
      </c>
      <c r="B239" s="5">
        <v>45689</v>
      </c>
      <c r="C239" s="3" t="s">
        <v>28</v>
      </c>
      <c r="D239" s="3" t="s">
        <v>27</v>
      </c>
      <c r="E239" s="4">
        <f t="shared" si="9"/>
        <v>0</v>
      </c>
      <c r="F239" s="4">
        <f t="shared" si="10"/>
        <v>0</v>
      </c>
      <c r="G239" s="4">
        <f t="shared" si="11"/>
        <v>1</v>
      </c>
      <c r="H239" s="3">
        <v>72961.95</v>
      </c>
      <c r="I239" s="3">
        <v>9996</v>
      </c>
      <c r="J239" s="3">
        <v>0.106</v>
      </c>
      <c r="K239" s="3">
        <v>22</v>
      </c>
      <c r="L239" s="3">
        <v>89.1</v>
      </c>
      <c r="M239" s="3">
        <v>15.66</v>
      </c>
      <c r="N239" s="3">
        <v>0</v>
      </c>
      <c r="O239" s="3">
        <v>3.4</v>
      </c>
      <c r="P239" s="3">
        <v>810355.02</v>
      </c>
      <c r="Q239" s="3">
        <v>131510</v>
      </c>
    </row>
    <row r="240" spans="1:17">
      <c r="A240" s="3" t="s">
        <v>81</v>
      </c>
      <c r="B240" s="5">
        <v>45717</v>
      </c>
      <c r="C240" s="3" t="s">
        <v>28</v>
      </c>
      <c r="D240" s="3" t="s">
        <v>27</v>
      </c>
      <c r="E240" s="4">
        <f t="shared" si="9"/>
        <v>0</v>
      </c>
      <c r="F240" s="4">
        <f t="shared" si="10"/>
        <v>0</v>
      </c>
      <c r="G240" s="4">
        <f t="shared" si="11"/>
        <v>1</v>
      </c>
      <c r="H240" s="3">
        <v>59060.05</v>
      </c>
      <c r="I240" s="3">
        <v>9702</v>
      </c>
      <c r="J240" s="3">
        <v>0.20100000000000001</v>
      </c>
      <c r="K240" s="3">
        <v>23</v>
      </c>
      <c r="L240" s="3">
        <v>80.900000000000006</v>
      </c>
      <c r="M240" s="3">
        <v>6.96</v>
      </c>
      <c r="N240" s="3">
        <v>0</v>
      </c>
      <c r="O240" s="3">
        <v>3.2</v>
      </c>
      <c r="P240" s="3">
        <v>761919.25</v>
      </c>
      <c r="Q240" s="3">
        <v>111893.06</v>
      </c>
    </row>
    <row r="241" spans="1:17">
      <c r="A241" s="3" t="s">
        <v>81</v>
      </c>
      <c r="B241" s="5">
        <v>45748</v>
      </c>
      <c r="C241" s="3" t="s">
        <v>28</v>
      </c>
      <c r="D241" s="3" t="s">
        <v>27</v>
      </c>
      <c r="E241" s="4">
        <f t="shared" si="9"/>
        <v>0</v>
      </c>
      <c r="F241" s="4">
        <f t="shared" si="10"/>
        <v>0</v>
      </c>
      <c r="G241" s="4">
        <f t="shared" si="11"/>
        <v>1</v>
      </c>
      <c r="H241" s="3">
        <v>26248.1</v>
      </c>
      <c r="I241" s="3">
        <v>9314</v>
      </c>
      <c r="J241" s="3">
        <v>0.186</v>
      </c>
      <c r="K241" s="3">
        <v>21</v>
      </c>
      <c r="L241" s="3">
        <v>83.7</v>
      </c>
      <c r="M241" s="3">
        <v>4.62</v>
      </c>
      <c r="N241" s="3">
        <v>0</v>
      </c>
      <c r="O241" s="3">
        <v>3.3</v>
      </c>
      <c r="P241" s="3">
        <v>737070.18</v>
      </c>
      <c r="Q241" s="3">
        <v>117593.97</v>
      </c>
    </row>
    <row r="242" spans="1:17">
      <c r="A242" s="3" t="s">
        <v>82</v>
      </c>
      <c r="B242" s="5">
        <v>45658</v>
      </c>
      <c r="C242" s="3" t="s">
        <v>21</v>
      </c>
      <c r="D242" s="3" t="s">
        <v>24</v>
      </c>
      <c r="E242" s="4">
        <f t="shared" si="9"/>
        <v>1</v>
      </c>
      <c r="F242" s="4">
        <f t="shared" si="10"/>
        <v>0</v>
      </c>
      <c r="G242" s="4">
        <f t="shared" si="11"/>
        <v>0</v>
      </c>
      <c r="H242" s="3">
        <v>69900.12</v>
      </c>
      <c r="I242" s="3">
        <v>8055</v>
      </c>
      <c r="J242" s="3">
        <v>0.28100000000000003</v>
      </c>
      <c r="K242" s="3">
        <v>22</v>
      </c>
      <c r="L242" s="3">
        <v>85.6</v>
      </c>
      <c r="M242" s="3">
        <v>10.68</v>
      </c>
      <c r="N242" s="3">
        <v>1</v>
      </c>
      <c r="O242" s="3">
        <v>2.9</v>
      </c>
      <c r="P242" s="3">
        <v>776992.93</v>
      </c>
      <c r="Q242" s="3">
        <v>101598.32</v>
      </c>
    </row>
    <row r="243" spans="1:17">
      <c r="A243" s="3" t="s">
        <v>82</v>
      </c>
      <c r="B243" s="5">
        <v>45689</v>
      </c>
      <c r="C243" s="3" t="s">
        <v>21</v>
      </c>
      <c r="D243" s="3" t="s">
        <v>24</v>
      </c>
      <c r="E243" s="4">
        <f t="shared" si="9"/>
        <v>1</v>
      </c>
      <c r="F243" s="4">
        <f t="shared" si="10"/>
        <v>0</v>
      </c>
      <c r="G243" s="4">
        <f t="shared" si="11"/>
        <v>0</v>
      </c>
      <c r="H243" s="3">
        <v>51781.599999999999</v>
      </c>
      <c r="I243" s="3">
        <v>5648</v>
      </c>
      <c r="J243" s="3">
        <v>5.8999999999999997E-2</v>
      </c>
      <c r="K243" s="3">
        <v>13</v>
      </c>
      <c r="L243" s="3">
        <v>85.5</v>
      </c>
      <c r="M243" s="3">
        <v>4.04</v>
      </c>
      <c r="N243" s="3">
        <v>0</v>
      </c>
      <c r="O243" s="3">
        <v>3.7</v>
      </c>
      <c r="P243" s="3">
        <v>676337.41</v>
      </c>
      <c r="Q243" s="3">
        <v>104355.77</v>
      </c>
    </row>
    <row r="244" spans="1:17">
      <c r="A244" s="3" t="s">
        <v>82</v>
      </c>
      <c r="B244" s="5">
        <v>45717</v>
      </c>
      <c r="C244" s="3" t="s">
        <v>21</v>
      </c>
      <c r="D244" s="3" t="s">
        <v>24</v>
      </c>
      <c r="E244" s="4">
        <f t="shared" si="9"/>
        <v>1</v>
      </c>
      <c r="F244" s="4">
        <f t="shared" si="10"/>
        <v>0</v>
      </c>
      <c r="G244" s="4">
        <f t="shared" si="11"/>
        <v>0</v>
      </c>
      <c r="H244" s="3">
        <v>70799.64</v>
      </c>
      <c r="I244" s="3">
        <v>10076</v>
      </c>
      <c r="J244" s="3">
        <v>0.152</v>
      </c>
      <c r="K244" s="3">
        <v>24</v>
      </c>
      <c r="L244" s="3">
        <v>84.8</v>
      </c>
      <c r="M244" s="3">
        <v>1.87</v>
      </c>
      <c r="N244" s="3">
        <v>0</v>
      </c>
      <c r="O244" s="3">
        <v>3.5</v>
      </c>
      <c r="P244" s="3">
        <v>828219.67</v>
      </c>
      <c r="Q244" s="3">
        <v>179806.87</v>
      </c>
    </row>
    <row r="245" spans="1:17">
      <c r="A245" s="3" t="s">
        <v>82</v>
      </c>
      <c r="B245" s="5">
        <v>45748</v>
      </c>
      <c r="C245" s="3" t="s">
        <v>21</v>
      </c>
      <c r="D245" s="3" t="s">
        <v>24</v>
      </c>
      <c r="E245" s="4">
        <f t="shared" si="9"/>
        <v>1</v>
      </c>
      <c r="F245" s="4">
        <f t="shared" si="10"/>
        <v>0</v>
      </c>
      <c r="G245" s="4">
        <f t="shared" si="11"/>
        <v>0</v>
      </c>
      <c r="H245" s="3">
        <v>53546.34</v>
      </c>
      <c r="I245" s="3">
        <v>8004</v>
      </c>
      <c r="J245" s="3">
        <v>0</v>
      </c>
      <c r="K245" s="3">
        <v>21</v>
      </c>
      <c r="L245" s="3">
        <v>95.2</v>
      </c>
      <c r="M245" s="3">
        <v>2.83</v>
      </c>
      <c r="N245" s="3">
        <v>0</v>
      </c>
      <c r="O245" s="3">
        <v>3</v>
      </c>
      <c r="P245" s="3">
        <v>763159.92</v>
      </c>
      <c r="Q245" s="3">
        <v>177104.87</v>
      </c>
    </row>
    <row r="246" spans="1:17">
      <c r="A246" s="3" t="s">
        <v>83</v>
      </c>
      <c r="B246" s="5">
        <v>45658</v>
      </c>
      <c r="C246" s="3" t="s">
        <v>18</v>
      </c>
      <c r="D246" s="3" t="s">
        <v>15</v>
      </c>
      <c r="E246" s="4">
        <f t="shared" si="9"/>
        <v>0</v>
      </c>
      <c r="F246" s="4">
        <f t="shared" si="10"/>
        <v>1</v>
      </c>
      <c r="G246" s="4">
        <f t="shared" si="11"/>
        <v>0</v>
      </c>
      <c r="H246" s="3">
        <v>76942.2</v>
      </c>
      <c r="I246" s="3">
        <v>8934</v>
      </c>
      <c r="J246" s="3">
        <v>8.4000000000000005E-2</v>
      </c>
      <c r="K246" s="3">
        <v>20</v>
      </c>
      <c r="L246" s="3">
        <v>91</v>
      </c>
      <c r="M246" s="3">
        <v>0.95</v>
      </c>
      <c r="N246" s="3">
        <v>0</v>
      </c>
      <c r="O246" s="3">
        <v>3.2</v>
      </c>
      <c r="P246" s="3">
        <v>802001.68</v>
      </c>
      <c r="Q246" s="3">
        <v>159715.82</v>
      </c>
    </row>
    <row r="247" spans="1:17">
      <c r="A247" s="3" t="s">
        <v>83</v>
      </c>
      <c r="B247" s="5">
        <v>45689</v>
      </c>
      <c r="C247" s="3" t="s">
        <v>18</v>
      </c>
      <c r="D247" s="3" t="s">
        <v>15</v>
      </c>
      <c r="E247" s="4">
        <f t="shared" si="9"/>
        <v>0</v>
      </c>
      <c r="F247" s="4">
        <f t="shared" si="10"/>
        <v>1</v>
      </c>
      <c r="G247" s="4">
        <f t="shared" si="11"/>
        <v>0</v>
      </c>
      <c r="H247" s="3">
        <v>48060.78</v>
      </c>
      <c r="I247" s="3">
        <v>8733</v>
      </c>
      <c r="J247" s="3">
        <v>0</v>
      </c>
      <c r="K247" s="3">
        <v>20</v>
      </c>
      <c r="L247" s="3">
        <v>89.9</v>
      </c>
      <c r="M247" s="3">
        <v>0.8</v>
      </c>
      <c r="N247" s="3">
        <v>0</v>
      </c>
      <c r="O247" s="3">
        <v>3.4</v>
      </c>
      <c r="P247" s="3">
        <v>750471.34</v>
      </c>
      <c r="Q247" s="3">
        <v>133788.04</v>
      </c>
    </row>
    <row r="248" spans="1:17">
      <c r="A248" s="3" t="s">
        <v>83</v>
      </c>
      <c r="B248" s="5">
        <v>45717</v>
      </c>
      <c r="C248" s="3" t="s">
        <v>18</v>
      </c>
      <c r="D248" s="3" t="s">
        <v>15</v>
      </c>
      <c r="E248" s="4">
        <f t="shared" si="9"/>
        <v>0</v>
      </c>
      <c r="F248" s="4">
        <f t="shared" si="10"/>
        <v>1</v>
      </c>
      <c r="G248" s="4">
        <f t="shared" si="11"/>
        <v>0</v>
      </c>
      <c r="H248" s="3">
        <v>57390.04</v>
      </c>
      <c r="I248" s="3">
        <v>7374</v>
      </c>
      <c r="J248" s="3">
        <v>0.21</v>
      </c>
      <c r="K248" s="3">
        <v>21</v>
      </c>
      <c r="L248" s="3">
        <v>91.8</v>
      </c>
      <c r="M248" s="3">
        <v>0.2</v>
      </c>
      <c r="N248" s="3">
        <v>0</v>
      </c>
      <c r="O248" s="3">
        <v>3.1</v>
      </c>
      <c r="P248" s="3">
        <v>679230.86</v>
      </c>
      <c r="Q248" s="3">
        <v>106927.58</v>
      </c>
    </row>
    <row r="249" spans="1:17">
      <c r="A249" s="3" t="s">
        <v>83</v>
      </c>
      <c r="B249" s="5">
        <v>45748</v>
      </c>
      <c r="C249" s="3" t="s">
        <v>18</v>
      </c>
      <c r="D249" s="3" t="s">
        <v>15</v>
      </c>
      <c r="E249" s="4">
        <f t="shared" si="9"/>
        <v>0</v>
      </c>
      <c r="F249" s="4">
        <f t="shared" si="10"/>
        <v>1</v>
      </c>
      <c r="G249" s="4">
        <f t="shared" si="11"/>
        <v>0</v>
      </c>
      <c r="H249" s="3">
        <v>21536.18</v>
      </c>
      <c r="I249" s="3">
        <v>8119</v>
      </c>
      <c r="J249" s="3">
        <v>0.22700000000000001</v>
      </c>
      <c r="K249" s="3">
        <v>20</v>
      </c>
      <c r="L249" s="3">
        <v>90.4</v>
      </c>
      <c r="M249" s="3">
        <v>1.7</v>
      </c>
      <c r="N249" s="3">
        <v>0</v>
      </c>
      <c r="O249" s="3">
        <v>3.3</v>
      </c>
      <c r="P249" s="3">
        <v>679888.74</v>
      </c>
      <c r="Q249" s="3">
        <v>83406.89</v>
      </c>
    </row>
    <row r="250" spans="1:17">
      <c r="A250" s="3" t="s">
        <v>84</v>
      </c>
      <c r="B250" s="5">
        <v>45658</v>
      </c>
      <c r="C250" s="3" t="s">
        <v>18</v>
      </c>
      <c r="D250" s="3" t="s">
        <v>20</v>
      </c>
      <c r="E250" s="4">
        <f t="shared" si="9"/>
        <v>0</v>
      </c>
      <c r="F250" s="4">
        <f t="shared" si="10"/>
        <v>0</v>
      </c>
      <c r="G250" s="4">
        <f t="shared" si="11"/>
        <v>0</v>
      </c>
      <c r="H250" s="3">
        <v>40923.67</v>
      </c>
      <c r="I250" s="3">
        <v>3875</v>
      </c>
      <c r="J250" s="3">
        <v>0.15</v>
      </c>
      <c r="K250" s="3">
        <v>10</v>
      </c>
      <c r="L250" s="3">
        <v>96.1</v>
      </c>
      <c r="M250" s="4">
        <v>0</v>
      </c>
      <c r="N250" s="3">
        <v>0</v>
      </c>
      <c r="O250" s="3">
        <v>3.8</v>
      </c>
      <c r="P250" s="3">
        <v>606783.67000000004</v>
      </c>
      <c r="Q250" s="3">
        <v>74515.87</v>
      </c>
    </row>
    <row r="251" spans="1:17">
      <c r="A251" s="3" t="s">
        <v>84</v>
      </c>
      <c r="B251" s="5">
        <v>45689</v>
      </c>
      <c r="C251" s="3" t="s">
        <v>18</v>
      </c>
      <c r="D251" s="3" t="s">
        <v>20</v>
      </c>
      <c r="E251" s="4">
        <f t="shared" si="9"/>
        <v>0</v>
      </c>
      <c r="F251" s="4">
        <f t="shared" si="10"/>
        <v>0</v>
      </c>
      <c r="G251" s="4">
        <f t="shared" si="11"/>
        <v>0</v>
      </c>
      <c r="H251" s="3">
        <v>72932.55</v>
      </c>
      <c r="I251" s="3">
        <v>5765</v>
      </c>
      <c r="J251" s="3">
        <v>2.5999999999999999E-2</v>
      </c>
      <c r="K251" s="3">
        <v>17</v>
      </c>
      <c r="L251" s="3">
        <v>81.8</v>
      </c>
      <c r="M251" s="3">
        <v>5.0999999999999996</v>
      </c>
      <c r="N251" s="3">
        <v>0</v>
      </c>
      <c r="O251" s="3">
        <v>3.6</v>
      </c>
      <c r="P251" s="3">
        <v>642751.42000000004</v>
      </c>
      <c r="Q251" s="3">
        <v>131942.15</v>
      </c>
    </row>
    <row r="252" spans="1:17">
      <c r="A252" s="3" t="s">
        <v>84</v>
      </c>
      <c r="B252" s="5">
        <v>45717</v>
      </c>
      <c r="C252" s="3" t="s">
        <v>18</v>
      </c>
      <c r="D252" s="3" t="s">
        <v>20</v>
      </c>
      <c r="E252" s="4">
        <f t="shared" si="9"/>
        <v>0</v>
      </c>
      <c r="F252" s="4">
        <f t="shared" si="10"/>
        <v>0</v>
      </c>
      <c r="G252" s="4">
        <f t="shared" si="11"/>
        <v>0</v>
      </c>
      <c r="H252" s="3">
        <v>38361.93</v>
      </c>
      <c r="I252" s="3">
        <v>6322</v>
      </c>
      <c r="J252" s="3">
        <v>0.27300000000000002</v>
      </c>
      <c r="K252" s="3">
        <v>15</v>
      </c>
      <c r="L252" s="3">
        <v>88.4</v>
      </c>
      <c r="M252" s="3">
        <v>0.83</v>
      </c>
      <c r="N252" s="3">
        <v>0</v>
      </c>
      <c r="O252" s="3">
        <v>4</v>
      </c>
      <c r="P252" s="3">
        <v>647953.78</v>
      </c>
      <c r="Q252" s="3">
        <v>118497.43</v>
      </c>
    </row>
    <row r="253" spans="1:17">
      <c r="A253" s="3" t="s">
        <v>84</v>
      </c>
      <c r="B253" s="5">
        <v>45748</v>
      </c>
      <c r="C253" s="3" t="s">
        <v>18</v>
      </c>
      <c r="D253" s="3" t="s">
        <v>20</v>
      </c>
      <c r="E253" s="4">
        <f t="shared" si="9"/>
        <v>0</v>
      </c>
      <c r="F253" s="4">
        <f t="shared" si="10"/>
        <v>0</v>
      </c>
      <c r="G253" s="4">
        <f t="shared" si="11"/>
        <v>0</v>
      </c>
      <c r="H253" s="3">
        <v>97480.94</v>
      </c>
      <c r="I253" s="3">
        <v>6840</v>
      </c>
      <c r="J253" s="3">
        <v>8.6999999999999994E-2</v>
      </c>
      <c r="K253" s="3">
        <v>14</v>
      </c>
      <c r="L253" s="3">
        <v>79.2</v>
      </c>
      <c r="M253" s="3">
        <v>1.1399999999999999</v>
      </c>
      <c r="N253" s="3">
        <v>0</v>
      </c>
      <c r="O253" s="3">
        <v>4</v>
      </c>
      <c r="P253" s="3">
        <v>729440.45</v>
      </c>
      <c r="Q253" s="3">
        <v>87614.29</v>
      </c>
    </row>
    <row r="254" spans="1:17">
      <c r="A254" s="3" t="s">
        <v>85</v>
      </c>
      <c r="B254" s="5">
        <v>45658</v>
      </c>
      <c r="C254" s="3" t="s">
        <v>21</v>
      </c>
      <c r="D254" s="3" t="s">
        <v>24</v>
      </c>
      <c r="E254" s="4">
        <f t="shared" si="9"/>
        <v>1</v>
      </c>
      <c r="F254" s="4">
        <f t="shared" si="10"/>
        <v>0</v>
      </c>
      <c r="G254" s="4">
        <f t="shared" si="11"/>
        <v>0</v>
      </c>
      <c r="H254" s="3">
        <v>81801.8</v>
      </c>
      <c r="I254" s="3">
        <v>6782</v>
      </c>
      <c r="J254" s="3">
        <v>0.05</v>
      </c>
      <c r="K254" s="3">
        <v>16</v>
      </c>
      <c r="L254" s="3">
        <v>99</v>
      </c>
      <c r="M254" s="3">
        <v>9.5399999999999991</v>
      </c>
      <c r="N254" s="3">
        <v>0</v>
      </c>
      <c r="O254" s="3">
        <v>3.7</v>
      </c>
      <c r="P254" s="3">
        <v>764949</v>
      </c>
      <c r="Q254" s="3">
        <v>148322.43</v>
      </c>
    </row>
    <row r="255" spans="1:17">
      <c r="A255" s="3" t="s">
        <v>85</v>
      </c>
      <c r="B255" s="5">
        <v>45689</v>
      </c>
      <c r="C255" s="3" t="s">
        <v>21</v>
      </c>
      <c r="D255" s="3" t="s">
        <v>24</v>
      </c>
      <c r="E255" s="4">
        <f t="shared" si="9"/>
        <v>1</v>
      </c>
      <c r="F255" s="4">
        <f t="shared" si="10"/>
        <v>0</v>
      </c>
      <c r="G255" s="4">
        <f t="shared" si="11"/>
        <v>0</v>
      </c>
      <c r="H255" s="3">
        <v>63582.11</v>
      </c>
      <c r="I255" s="3">
        <v>6856</v>
      </c>
      <c r="J255" s="3">
        <v>7.3999999999999996E-2</v>
      </c>
      <c r="K255" s="3">
        <v>17</v>
      </c>
      <c r="L255" s="3">
        <v>89.5</v>
      </c>
      <c r="M255" s="3">
        <v>5.48</v>
      </c>
      <c r="N255" s="3">
        <v>0</v>
      </c>
      <c r="O255" s="3">
        <v>3.2</v>
      </c>
      <c r="P255" s="3">
        <v>799046.94</v>
      </c>
      <c r="Q255" s="3">
        <v>144553.64000000001</v>
      </c>
    </row>
    <row r="256" spans="1:17">
      <c r="A256" s="3" t="s">
        <v>85</v>
      </c>
      <c r="B256" s="5">
        <v>45717</v>
      </c>
      <c r="C256" s="3" t="s">
        <v>21</v>
      </c>
      <c r="D256" s="3" t="s">
        <v>24</v>
      </c>
      <c r="E256" s="4">
        <f t="shared" si="9"/>
        <v>1</v>
      </c>
      <c r="F256" s="4">
        <f t="shared" si="10"/>
        <v>0</v>
      </c>
      <c r="G256" s="4">
        <f t="shared" si="11"/>
        <v>0</v>
      </c>
      <c r="H256" s="3">
        <v>75412.740000000005</v>
      </c>
      <c r="I256" s="3">
        <v>5641</v>
      </c>
      <c r="J256" s="3">
        <v>5.8999999999999997E-2</v>
      </c>
      <c r="K256" s="3">
        <v>13</v>
      </c>
      <c r="L256" s="3">
        <v>87.9</v>
      </c>
      <c r="M256" s="3">
        <v>0.84</v>
      </c>
      <c r="N256" s="3">
        <v>0</v>
      </c>
      <c r="O256" s="3">
        <v>3.6</v>
      </c>
      <c r="P256" s="3">
        <v>720079.54</v>
      </c>
      <c r="Q256" s="3">
        <v>119499.47</v>
      </c>
    </row>
    <row r="257" spans="1:17">
      <c r="A257" s="3" t="s">
        <v>85</v>
      </c>
      <c r="B257" s="5">
        <v>45748</v>
      </c>
      <c r="C257" s="3" t="s">
        <v>21</v>
      </c>
      <c r="D257" s="3" t="s">
        <v>24</v>
      </c>
      <c r="E257" s="4">
        <f t="shared" si="9"/>
        <v>1</v>
      </c>
      <c r="F257" s="4">
        <f t="shared" si="10"/>
        <v>0</v>
      </c>
      <c r="G257" s="4">
        <f t="shared" si="11"/>
        <v>0</v>
      </c>
      <c r="H257" s="3">
        <v>36290.080000000002</v>
      </c>
      <c r="I257" s="3">
        <v>5787</v>
      </c>
      <c r="J257" s="3">
        <v>0</v>
      </c>
      <c r="K257" s="3">
        <v>17</v>
      </c>
      <c r="L257" s="3">
        <v>88.3</v>
      </c>
      <c r="M257" s="3">
        <v>4.1900000000000004</v>
      </c>
      <c r="N257" s="3">
        <v>0</v>
      </c>
      <c r="O257" s="3">
        <v>4.0999999999999996</v>
      </c>
      <c r="P257" s="3">
        <v>612390.14</v>
      </c>
      <c r="Q257" s="3">
        <v>108985.74</v>
      </c>
    </row>
    <row r="258" spans="1:17">
      <c r="A258" s="3" t="s">
        <v>86</v>
      </c>
      <c r="B258" s="5">
        <v>45658</v>
      </c>
      <c r="C258" s="3" t="s">
        <v>28</v>
      </c>
      <c r="D258" s="3" t="s">
        <v>24</v>
      </c>
      <c r="E258" s="4">
        <f t="shared" si="9"/>
        <v>1</v>
      </c>
      <c r="F258" s="4">
        <f t="shared" si="10"/>
        <v>0</v>
      </c>
      <c r="G258" s="4">
        <f t="shared" si="11"/>
        <v>0</v>
      </c>
      <c r="H258" s="3">
        <v>65272.58</v>
      </c>
      <c r="I258" s="3">
        <v>8165</v>
      </c>
      <c r="J258" s="3">
        <v>5.0999999999999997E-2</v>
      </c>
      <c r="K258" s="3">
        <v>19</v>
      </c>
      <c r="L258" s="3">
        <v>87.8</v>
      </c>
      <c r="M258" s="3">
        <v>1.26</v>
      </c>
      <c r="N258" s="3">
        <v>1</v>
      </c>
      <c r="O258" s="3">
        <v>4.3</v>
      </c>
      <c r="P258" s="3">
        <v>840108.12</v>
      </c>
      <c r="Q258" s="3">
        <v>126587.01</v>
      </c>
    </row>
    <row r="259" spans="1:17">
      <c r="A259" s="3" t="s">
        <v>86</v>
      </c>
      <c r="B259" s="5">
        <v>45689</v>
      </c>
      <c r="C259" s="3" t="s">
        <v>28</v>
      </c>
      <c r="D259" s="3" t="s">
        <v>24</v>
      </c>
      <c r="E259" s="4">
        <f t="shared" ref="E259:E321" si="12">IF(D259="South",1,0)</f>
        <v>1</v>
      </c>
      <c r="F259" s="4">
        <f t="shared" ref="F259:F321" si="13">IF(D259="East",1,0)</f>
        <v>0</v>
      </c>
      <c r="G259" s="4">
        <f t="shared" ref="G259:G321" si="14">IF(D259="West",1,0)</f>
        <v>0</v>
      </c>
      <c r="H259" s="3">
        <v>28670.43</v>
      </c>
      <c r="I259" s="3">
        <v>7574</v>
      </c>
      <c r="J259" s="3">
        <v>0.114</v>
      </c>
      <c r="K259" s="3">
        <v>19</v>
      </c>
      <c r="L259" s="3">
        <v>82.7</v>
      </c>
      <c r="M259" s="3">
        <v>2.74</v>
      </c>
      <c r="N259" s="3">
        <v>0</v>
      </c>
      <c r="O259" s="3">
        <v>4.5999999999999996</v>
      </c>
      <c r="P259" s="3">
        <v>697888.09</v>
      </c>
      <c r="Q259" s="3">
        <v>116249.87</v>
      </c>
    </row>
    <row r="260" spans="1:17">
      <c r="A260" s="3" t="s">
        <v>86</v>
      </c>
      <c r="B260" s="5">
        <v>45717</v>
      </c>
      <c r="C260" s="3" t="s">
        <v>28</v>
      </c>
      <c r="D260" s="3" t="s">
        <v>24</v>
      </c>
      <c r="E260" s="4">
        <f t="shared" si="12"/>
        <v>1</v>
      </c>
      <c r="F260" s="4">
        <f t="shared" si="13"/>
        <v>0</v>
      </c>
      <c r="G260" s="4">
        <f t="shared" si="14"/>
        <v>0</v>
      </c>
      <c r="H260" s="3">
        <v>44189.34</v>
      </c>
      <c r="I260" s="3">
        <v>8634</v>
      </c>
      <c r="J260" s="3">
        <v>0.14299999999999999</v>
      </c>
      <c r="K260" s="3">
        <v>19</v>
      </c>
      <c r="L260" s="3">
        <v>87.5</v>
      </c>
      <c r="M260" s="3">
        <v>3.69</v>
      </c>
      <c r="N260" s="3">
        <v>0</v>
      </c>
      <c r="O260" s="3">
        <v>4.4000000000000004</v>
      </c>
      <c r="P260" s="3">
        <v>746115.59</v>
      </c>
      <c r="Q260" s="3">
        <v>94662.96</v>
      </c>
    </row>
    <row r="261" spans="1:17">
      <c r="A261" s="3" t="s">
        <v>86</v>
      </c>
      <c r="B261" s="5">
        <v>45748</v>
      </c>
      <c r="C261" s="3" t="s">
        <v>28</v>
      </c>
      <c r="D261" s="3" t="s">
        <v>24</v>
      </c>
      <c r="E261" s="4">
        <f t="shared" si="12"/>
        <v>1</v>
      </c>
      <c r="F261" s="4">
        <f t="shared" si="13"/>
        <v>0</v>
      </c>
      <c r="G261" s="4">
        <f t="shared" si="14"/>
        <v>0</v>
      </c>
      <c r="H261" s="3">
        <v>38397.82</v>
      </c>
      <c r="I261" s="3">
        <v>7836</v>
      </c>
      <c r="J261" s="3">
        <v>7.0000000000000001E-3</v>
      </c>
      <c r="K261" s="3">
        <v>21</v>
      </c>
      <c r="L261" s="3">
        <v>92.2</v>
      </c>
      <c r="M261" s="3">
        <v>1.82</v>
      </c>
      <c r="N261" s="3">
        <v>0</v>
      </c>
      <c r="O261" s="3">
        <v>3.6</v>
      </c>
      <c r="P261" s="3">
        <v>776110.32</v>
      </c>
      <c r="Q261" s="3">
        <v>139676.21</v>
      </c>
    </row>
    <row r="262" spans="1:17">
      <c r="A262" s="3" t="s">
        <v>87</v>
      </c>
      <c r="B262" s="5">
        <v>45658</v>
      </c>
      <c r="C262" s="3" t="s">
        <v>18</v>
      </c>
      <c r="D262" s="3" t="s">
        <v>27</v>
      </c>
      <c r="E262" s="4">
        <f t="shared" si="12"/>
        <v>0</v>
      </c>
      <c r="F262" s="4">
        <f t="shared" si="13"/>
        <v>0</v>
      </c>
      <c r="G262" s="4">
        <f t="shared" si="14"/>
        <v>1</v>
      </c>
      <c r="H262" s="3">
        <v>14519.37</v>
      </c>
      <c r="I262" s="3">
        <v>3047</v>
      </c>
      <c r="J262" s="3">
        <v>0.13500000000000001</v>
      </c>
      <c r="K262" s="3">
        <v>10</v>
      </c>
      <c r="L262" s="3">
        <v>90.3</v>
      </c>
      <c r="M262" s="3">
        <v>6.62</v>
      </c>
      <c r="N262" s="3">
        <v>0</v>
      </c>
      <c r="O262" s="3">
        <v>4.2</v>
      </c>
      <c r="P262" s="3">
        <v>528852.62</v>
      </c>
      <c r="Q262" s="3">
        <v>68426.210000000006</v>
      </c>
    </row>
    <row r="263" spans="1:17">
      <c r="A263" s="3" t="s">
        <v>87</v>
      </c>
      <c r="B263" s="5">
        <v>45689</v>
      </c>
      <c r="C263" s="3" t="s">
        <v>18</v>
      </c>
      <c r="D263" s="3" t="s">
        <v>27</v>
      </c>
      <c r="E263" s="4">
        <f t="shared" si="12"/>
        <v>0</v>
      </c>
      <c r="F263" s="4">
        <f t="shared" si="13"/>
        <v>0</v>
      </c>
      <c r="G263" s="4">
        <f t="shared" si="14"/>
        <v>1</v>
      </c>
      <c r="H263" s="3">
        <v>43288.2</v>
      </c>
      <c r="I263" s="3">
        <v>4783</v>
      </c>
      <c r="J263" s="3">
        <v>0.16900000000000001</v>
      </c>
      <c r="K263" s="3">
        <v>13</v>
      </c>
      <c r="L263" s="3">
        <v>87.3</v>
      </c>
      <c r="M263" s="4">
        <v>0</v>
      </c>
      <c r="N263" s="3">
        <v>0</v>
      </c>
      <c r="O263" s="3">
        <v>4.2</v>
      </c>
      <c r="P263" s="3">
        <v>605751.32999999996</v>
      </c>
      <c r="Q263" s="3">
        <v>60685.53</v>
      </c>
    </row>
    <row r="264" spans="1:17">
      <c r="A264" s="3" t="s">
        <v>87</v>
      </c>
      <c r="B264" s="5">
        <v>45717</v>
      </c>
      <c r="C264" s="3" t="s">
        <v>18</v>
      </c>
      <c r="D264" s="3" t="s">
        <v>27</v>
      </c>
      <c r="E264" s="4">
        <f t="shared" si="12"/>
        <v>0</v>
      </c>
      <c r="F264" s="4">
        <f t="shared" si="13"/>
        <v>0</v>
      </c>
      <c r="G264" s="4">
        <f t="shared" si="14"/>
        <v>1</v>
      </c>
      <c r="H264" s="3">
        <v>51450.55</v>
      </c>
      <c r="I264" s="3">
        <v>4902</v>
      </c>
      <c r="J264" s="3">
        <v>8.5999999999999993E-2</v>
      </c>
      <c r="K264" s="3">
        <v>11</v>
      </c>
      <c r="L264" s="3">
        <v>83.7</v>
      </c>
      <c r="M264" s="3">
        <v>6.92</v>
      </c>
      <c r="N264" s="3">
        <v>1</v>
      </c>
      <c r="O264" s="3">
        <v>4.2</v>
      </c>
      <c r="P264" s="3">
        <v>677640.65</v>
      </c>
      <c r="Q264" s="3">
        <v>111610.89</v>
      </c>
    </row>
    <row r="265" spans="1:17">
      <c r="A265" s="3" t="s">
        <v>87</v>
      </c>
      <c r="B265" s="5">
        <v>45748</v>
      </c>
      <c r="C265" s="3" t="s">
        <v>18</v>
      </c>
      <c r="D265" s="3" t="s">
        <v>27</v>
      </c>
      <c r="E265" s="4">
        <f t="shared" si="12"/>
        <v>0</v>
      </c>
      <c r="F265" s="4">
        <f t="shared" si="13"/>
        <v>0</v>
      </c>
      <c r="G265" s="4">
        <f t="shared" si="14"/>
        <v>1</v>
      </c>
      <c r="H265" s="3">
        <v>58688.26</v>
      </c>
      <c r="I265" s="3">
        <v>4022</v>
      </c>
      <c r="J265" s="3">
        <v>0.217</v>
      </c>
      <c r="K265" s="3">
        <v>12</v>
      </c>
      <c r="L265" s="3">
        <v>93.8</v>
      </c>
      <c r="M265" s="3">
        <v>11.78</v>
      </c>
      <c r="N265" s="3">
        <v>0</v>
      </c>
      <c r="O265" s="3">
        <v>3.7</v>
      </c>
      <c r="P265" s="3">
        <v>636613.23</v>
      </c>
      <c r="Q265" s="3">
        <v>78908.350000000006</v>
      </c>
    </row>
    <row r="266" spans="1:17">
      <c r="A266" s="3" t="s">
        <v>88</v>
      </c>
      <c r="B266" s="5">
        <v>45658</v>
      </c>
      <c r="C266" s="3" t="s">
        <v>18</v>
      </c>
      <c r="D266" s="3" t="s">
        <v>15</v>
      </c>
      <c r="E266" s="4">
        <f t="shared" si="12"/>
        <v>0</v>
      </c>
      <c r="F266" s="4">
        <f t="shared" si="13"/>
        <v>1</v>
      </c>
      <c r="G266" s="4">
        <f t="shared" si="14"/>
        <v>0</v>
      </c>
      <c r="H266" s="3">
        <v>58981.91</v>
      </c>
      <c r="I266" s="3">
        <v>7324</v>
      </c>
      <c r="J266" s="3">
        <v>9.4E-2</v>
      </c>
      <c r="K266" s="3">
        <v>15</v>
      </c>
      <c r="L266" s="3">
        <v>95.8</v>
      </c>
      <c r="M266" s="3">
        <v>0.5</v>
      </c>
      <c r="N266" s="3">
        <v>0</v>
      </c>
      <c r="O266" s="3">
        <v>3.5</v>
      </c>
      <c r="P266" s="3">
        <v>708985.19</v>
      </c>
      <c r="Q266" s="3">
        <v>125368.16</v>
      </c>
    </row>
    <row r="267" spans="1:17">
      <c r="A267" s="3" t="s">
        <v>88</v>
      </c>
      <c r="B267" s="5">
        <v>45689</v>
      </c>
      <c r="C267" s="3" t="s">
        <v>18</v>
      </c>
      <c r="D267" s="3" t="s">
        <v>15</v>
      </c>
      <c r="E267" s="4">
        <f t="shared" si="12"/>
        <v>0</v>
      </c>
      <c r="F267" s="4">
        <f t="shared" si="13"/>
        <v>1</v>
      </c>
      <c r="G267" s="4">
        <f t="shared" si="14"/>
        <v>0</v>
      </c>
      <c r="H267" s="3">
        <v>73454.539999999994</v>
      </c>
      <c r="I267" s="3">
        <v>8129</v>
      </c>
      <c r="J267" s="3">
        <v>0.21099999999999999</v>
      </c>
      <c r="K267" s="3">
        <v>20</v>
      </c>
      <c r="L267" s="3">
        <v>85.2</v>
      </c>
      <c r="M267" s="3">
        <v>0.88</v>
      </c>
      <c r="N267" s="3">
        <v>0</v>
      </c>
      <c r="O267" s="3">
        <v>3.7</v>
      </c>
      <c r="P267" s="3">
        <v>767792.94</v>
      </c>
      <c r="Q267" s="3">
        <v>96235.77</v>
      </c>
    </row>
    <row r="268" spans="1:17">
      <c r="A268" s="3" t="s">
        <v>88</v>
      </c>
      <c r="B268" s="5">
        <v>45717</v>
      </c>
      <c r="C268" s="3" t="s">
        <v>18</v>
      </c>
      <c r="D268" s="3" t="s">
        <v>15</v>
      </c>
      <c r="E268" s="4">
        <f t="shared" si="12"/>
        <v>0</v>
      </c>
      <c r="F268" s="4">
        <f t="shared" si="13"/>
        <v>1</v>
      </c>
      <c r="G268" s="4">
        <f t="shared" si="14"/>
        <v>0</v>
      </c>
      <c r="H268" s="3">
        <v>56602.39</v>
      </c>
      <c r="I268" s="3">
        <v>7969</v>
      </c>
      <c r="J268" s="3">
        <v>0.17</v>
      </c>
      <c r="K268" s="3">
        <v>21</v>
      </c>
      <c r="L268" s="3">
        <v>88.3</v>
      </c>
      <c r="M268" s="3">
        <v>2.25</v>
      </c>
      <c r="N268" s="3">
        <v>0</v>
      </c>
      <c r="O268" s="3">
        <v>3.7</v>
      </c>
      <c r="P268" s="3">
        <v>745580.51</v>
      </c>
      <c r="Q268" s="3">
        <v>116273.68</v>
      </c>
    </row>
    <row r="269" spans="1:17">
      <c r="A269" s="3" t="s">
        <v>88</v>
      </c>
      <c r="B269" s="5">
        <v>45748</v>
      </c>
      <c r="C269" s="3" t="s">
        <v>18</v>
      </c>
      <c r="D269" s="3" t="s">
        <v>15</v>
      </c>
      <c r="E269" s="4">
        <f t="shared" si="12"/>
        <v>0</v>
      </c>
      <c r="F269" s="4">
        <f t="shared" si="13"/>
        <v>1</v>
      </c>
      <c r="G269" s="4">
        <f t="shared" si="14"/>
        <v>0</v>
      </c>
      <c r="H269" s="3">
        <v>67722.289999999994</v>
      </c>
      <c r="I269" s="3">
        <v>7240</v>
      </c>
      <c r="J269" s="3">
        <v>2.5999999999999999E-2</v>
      </c>
      <c r="K269" s="3">
        <v>15</v>
      </c>
      <c r="L269" s="3">
        <v>92.9</v>
      </c>
      <c r="M269" s="3">
        <v>0.28999999999999998</v>
      </c>
      <c r="N269" s="3">
        <v>0</v>
      </c>
      <c r="O269" s="3">
        <v>3.5</v>
      </c>
      <c r="P269" s="3">
        <v>762328.31</v>
      </c>
      <c r="Q269" s="3">
        <v>159158.19</v>
      </c>
    </row>
    <row r="270" spans="1:17">
      <c r="A270" s="3" t="s">
        <v>89</v>
      </c>
      <c r="B270" s="5">
        <v>45658</v>
      </c>
      <c r="C270" s="3" t="s">
        <v>28</v>
      </c>
      <c r="D270" s="3" t="s">
        <v>15</v>
      </c>
      <c r="E270" s="4">
        <f t="shared" si="12"/>
        <v>0</v>
      </c>
      <c r="F270" s="4">
        <f t="shared" si="13"/>
        <v>1</v>
      </c>
      <c r="G270" s="4">
        <f t="shared" si="14"/>
        <v>0</v>
      </c>
      <c r="H270" s="3">
        <v>48752.92</v>
      </c>
      <c r="I270" s="3">
        <v>8052</v>
      </c>
      <c r="J270" s="3">
        <v>0.106</v>
      </c>
      <c r="K270" s="3">
        <v>16</v>
      </c>
      <c r="L270" s="3">
        <v>94.9</v>
      </c>
      <c r="M270" s="3">
        <v>0.65</v>
      </c>
      <c r="N270" s="3">
        <v>0</v>
      </c>
      <c r="O270" s="3">
        <v>3.6</v>
      </c>
      <c r="P270" s="3">
        <v>660633.99</v>
      </c>
      <c r="Q270" s="3">
        <v>118768.66</v>
      </c>
    </row>
    <row r="271" spans="1:17">
      <c r="A271" s="3" t="s">
        <v>89</v>
      </c>
      <c r="B271" s="5">
        <v>45689</v>
      </c>
      <c r="C271" s="3" t="s">
        <v>28</v>
      </c>
      <c r="D271" s="3" t="s">
        <v>15</v>
      </c>
      <c r="E271" s="4">
        <f t="shared" si="12"/>
        <v>0</v>
      </c>
      <c r="F271" s="4">
        <f t="shared" si="13"/>
        <v>1</v>
      </c>
      <c r="G271" s="4">
        <f t="shared" si="14"/>
        <v>0</v>
      </c>
      <c r="H271" s="3">
        <v>23914.97</v>
      </c>
      <c r="I271" s="3">
        <v>8018</v>
      </c>
      <c r="J271" s="3">
        <v>0.13900000000000001</v>
      </c>
      <c r="K271" s="3">
        <v>20</v>
      </c>
      <c r="L271" s="3">
        <v>89</v>
      </c>
      <c r="M271" s="3">
        <v>0.2</v>
      </c>
      <c r="N271" s="3">
        <v>0</v>
      </c>
      <c r="O271" s="3">
        <v>3.5</v>
      </c>
      <c r="P271" s="3">
        <v>739374.56</v>
      </c>
      <c r="Q271" s="3">
        <v>121032.29</v>
      </c>
    </row>
    <row r="272" spans="1:17">
      <c r="A272" s="3" t="s">
        <v>89</v>
      </c>
      <c r="B272" s="5">
        <v>45717</v>
      </c>
      <c r="C272" s="3" t="s">
        <v>28</v>
      </c>
      <c r="D272" s="3" t="s">
        <v>15</v>
      </c>
      <c r="E272" s="4">
        <f t="shared" si="12"/>
        <v>0</v>
      </c>
      <c r="F272" s="4">
        <f t="shared" si="13"/>
        <v>1</v>
      </c>
      <c r="G272" s="4">
        <f t="shared" si="14"/>
        <v>0</v>
      </c>
      <c r="H272" s="3">
        <v>61995.3</v>
      </c>
      <c r="I272" s="3">
        <v>10192</v>
      </c>
      <c r="J272" s="3">
        <v>0.19800000000000001</v>
      </c>
      <c r="K272" s="3">
        <v>21</v>
      </c>
      <c r="L272" s="3">
        <v>87.6</v>
      </c>
      <c r="M272" s="3">
        <v>3.63</v>
      </c>
      <c r="N272" s="3">
        <v>1</v>
      </c>
      <c r="O272" s="3">
        <v>3.8</v>
      </c>
      <c r="P272" s="3">
        <v>799756.46</v>
      </c>
      <c r="Q272" s="3">
        <v>105052.93</v>
      </c>
    </row>
    <row r="273" spans="1:17">
      <c r="A273" s="3" t="s">
        <v>89</v>
      </c>
      <c r="B273" s="5">
        <v>45748</v>
      </c>
      <c r="C273" s="3" t="s">
        <v>28</v>
      </c>
      <c r="D273" s="3" t="s">
        <v>15</v>
      </c>
      <c r="E273" s="4">
        <f t="shared" si="12"/>
        <v>0</v>
      </c>
      <c r="F273" s="4">
        <f t="shared" si="13"/>
        <v>1</v>
      </c>
      <c r="G273" s="4">
        <f t="shared" si="14"/>
        <v>0</v>
      </c>
      <c r="H273" s="3">
        <v>29344.93</v>
      </c>
      <c r="I273" s="3">
        <v>7446</v>
      </c>
      <c r="J273" s="3">
        <v>0.111</v>
      </c>
      <c r="K273" s="3">
        <v>15</v>
      </c>
      <c r="L273" s="3">
        <v>86.2</v>
      </c>
      <c r="M273" s="3">
        <v>0.2</v>
      </c>
      <c r="N273" s="3">
        <v>0</v>
      </c>
      <c r="O273" s="3">
        <v>3.2</v>
      </c>
      <c r="P273" s="3">
        <v>593343</v>
      </c>
      <c r="Q273" s="3">
        <v>82832.240000000005</v>
      </c>
    </row>
    <row r="274" spans="1:17">
      <c r="A274" s="3" t="s">
        <v>90</v>
      </c>
      <c r="B274" s="5">
        <v>45658</v>
      </c>
      <c r="C274" s="3" t="s">
        <v>18</v>
      </c>
      <c r="D274" s="3" t="s">
        <v>27</v>
      </c>
      <c r="E274" s="4">
        <f t="shared" si="12"/>
        <v>0</v>
      </c>
      <c r="F274" s="4">
        <f t="shared" si="13"/>
        <v>0</v>
      </c>
      <c r="G274" s="4">
        <f t="shared" si="14"/>
        <v>1</v>
      </c>
      <c r="H274" s="3">
        <v>50532.17</v>
      </c>
      <c r="I274" s="3">
        <v>5689</v>
      </c>
      <c r="J274" s="3">
        <v>5.1999999999999998E-2</v>
      </c>
      <c r="K274" s="3">
        <v>17</v>
      </c>
      <c r="L274" s="3">
        <v>85.6</v>
      </c>
      <c r="M274" s="3">
        <v>6.23</v>
      </c>
      <c r="N274" s="3">
        <v>0</v>
      </c>
      <c r="O274" s="3">
        <v>3.3</v>
      </c>
      <c r="P274" s="3">
        <v>645039.97</v>
      </c>
      <c r="Q274" s="3">
        <v>83093.33</v>
      </c>
    </row>
    <row r="275" spans="1:17">
      <c r="A275" s="3" t="s">
        <v>90</v>
      </c>
      <c r="B275" s="5">
        <v>45689</v>
      </c>
      <c r="C275" s="3" t="s">
        <v>18</v>
      </c>
      <c r="D275" s="3" t="s">
        <v>27</v>
      </c>
      <c r="E275" s="4">
        <f t="shared" si="12"/>
        <v>0</v>
      </c>
      <c r="F275" s="4">
        <f t="shared" si="13"/>
        <v>0</v>
      </c>
      <c r="G275" s="4">
        <f t="shared" si="14"/>
        <v>1</v>
      </c>
      <c r="H275" s="3">
        <v>17562.57</v>
      </c>
      <c r="I275" s="3">
        <v>3326</v>
      </c>
      <c r="J275" s="3">
        <v>0.153</v>
      </c>
      <c r="K275" s="3">
        <v>14</v>
      </c>
      <c r="L275" s="3">
        <v>88.1</v>
      </c>
      <c r="M275" s="3">
        <v>1.04</v>
      </c>
      <c r="N275" s="3">
        <v>0</v>
      </c>
      <c r="O275" s="3">
        <v>3.1</v>
      </c>
      <c r="P275" s="3">
        <v>561597.32999999996</v>
      </c>
      <c r="Q275" s="3">
        <v>75072.75</v>
      </c>
    </row>
    <row r="276" spans="1:17">
      <c r="A276" s="3" t="s">
        <v>90</v>
      </c>
      <c r="B276" s="5">
        <v>45717</v>
      </c>
      <c r="C276" s="3" t="s">
        <v>18</v>
      </c>
      <c r="D276" s="3" t="s">
        <v>27</v>
      </c>
      <c r="E276" s="4">
        <f t="shared" si="12"/>
        <v>0</v>
      </c>
      <c r="F276" s="4">
        <f t="shared" si="13"/>
        <v>0</v>
      </c>
      <c r="G276" s="4">
        <f t="shared" si="14"/>
        <v>1</v>
      </c>
      <c r="H276" s="3">
        <v>47648.71</v>
      </c>
      <c r="I276" s="3">
        <v>5767</v>
      </c>
      <c r="J276" s="3">
        <v>0.14099999999999999</v>
      </c>
      <c r="K276" s="3">
        <v>17</v>
      </c>
      <c r="L276" s="3">
        <v>89.8</v>
      </c>
      <c r="M276" s="3">
        <v>1.76</v>
      </c>
      <c r="N276" s="3">
        <v>0</v>
      </c>
      <c r="O276" s="3">
        <v>3.1</v>
      </c>
      <c r="P276" s="3">
        <v>635837.74</v>
      </c>
      <c r="Q276" s="3">
        <v>114740.64</v>
      </c>
    </row>
    <row r="277" spans="1:17">
      <c r="A277" s="3" t="s">
        <v>90</v>
      </c>
      <c r="B277" s="5">
        <v>45748</v>
      </c>
      <c r="C277" s="3" t="s">
        <v>18</v>
      </c>
      <c r="D277" s="3" t="s">
        <v>27</v>
      </c>
      <c r="E277" s="4">
        <f t="shared" si="12"/>
        <v>0</v>
      </c>
      <c r="F277" s="4">
        <f t="shared" si="13"/>
        <v>0</v>
      </c>
      <c r="G277" s="4">
        <f t="shared" si="14"/>
        <v>1</v>
      </c>
      <c r="H277" s="3">
        <v>38297.58</v>
      </c>
      <c r="I277" s="3">
        <v>5893</v>
      </c>
      <c r="J277" s="3">
        <v>0.247</v>
      </c>
      <c r="K277" s="3">
        <v>18</v>
      </c>
      <c r="L277" s="3">
        <v>77.599999999999994</v>
      </c>
      <c r="M277" s="3">
        <v>2.86</v>
      </c>
      <c r="N277" s="3">
        <v>0</v>
      </c>
      <c r="O277" s="3">
        <v>3</v>
      </c>
      <c r="P277" s="3">
        <v>686737.87</v>
      </c>
      <c r="Q277" s="3">
        <v>83839.67</v>
      </c>
    </row>
    <row r="278" spans="1:17">
      <c r="A278" s="3" t="s">
        <v>91</v>
      </c>
      <c r="B278" s="5">
        <v>45658</v>
      </c>
      <c r="C278" s="3" t="s">
        <v>16</v>
      </c>
      <c r="D278" s="3" t="s">
        <v>24</v>
      </c>
      <c r="E278" s="4">
        <f t="shared" si="12"/>
        <v>1</v>
      </c>
      <c r="F278" s="4">
        <f t="shared" si="13"/>
        <v>0</v>
      </c>
      <c r="G278" s="4">
        <f t="shared" si="14"/>
        <v>0</v>
      </c>
      <c r="H278" s="3">
        <v>61784.11</v>
      </c>
      <c r="I278" s="3">
        <v>8564</v>
      </c>
      <c r="J278" s="3">
        <v>0.13</v>
      </c>
      <c r="K278" s="3">
        <v>17</v>
      </c>
      <c r="L278" s="3">
        <v>87.4</v>
      </c>
      <c r="M278" s="3">
        <v>18.14</v>
      </c>
      <c r="N278" s="3">
        <v>1</v>
      </c>
      <c r="O278" s="3">
        <v>3.4</v>
      </c>
      <c r="P278" s="3">
        <v>673076.34</v>
      </c>
      <c r="Q278" s="3">
        <v>93899.76</v>
      </c>
    </row>
    <row r="279" spans="1:17">
      <c r="A279" s="3" t="s">
        <v>91</v>
      </c>
      <c r="B279" s="5">
        <v>45689</v>
      </c>
      <c r="C279" s="3" t="s">
        <v>16</v>
      </c>
      <c r="D279" s="3" t="s">
        <v>24</v>
      </c>
      <c r="E279" s="4">
        <f t="shared" si="12"/>
        <v>1</v>
      </c>
      <c r="F279" s="4">
        <f t="shared" si="13"/>
        <v>0</v>
      </c>
      <c r="G279" s="4">
        <f t="shared" si="14"/>
        <v>0</v>
      </c>
      <c r="H279" s="3">
        <v>36832.33</v>
      </c>
      <c r="I279" s="3">
        <v>8001</v>
      </c>
      <c r="J279" s="3">
        <v>0</v>
      </c>
      <c r="K279" s="3">
        <v>19</v>
      </c>
      <c r="L279" s="3">
        <v>88.7</v>
      </c>
      <c r="M279" s="3">
        <v>3.39</v>
      </c>
      <c r="N279" s="3">
        <v>0</v>
      </c>
      <c r="O279" s="3">
        <v>4</v>
      </c>
      <c r="P279" s="3">
        <v>738548.42</v>
      </c>
      <c r="Q279" s="3">
        <v>134282.76999999999</v>
      </c>
    </row>
    <row r="280" spans="1:17">
      <c r="A280" s="3" t="s">
        <v>91</v>
      </c>
      <c r="B280" s="5">
        <v>45717</v>
      </c>
      <c r="C280" s="3" t="s">
        <v>16</v>
      </c>
      <c r="D280" s="3" t="s">
        <v>24</v>
      </c>
      <c r="E280" s="4">
        <f t="shared" si="12"/>
        <v>1</v>
      </c>
      <c r="F280" s="4">
        <f t="shared" si="13"/>
        <v>0</v>
      </c>
      <c r="G280" s="4">
        <f t="shared" si="14"/>
        <v>0</v>
      </c>
      <c r="H280" s="3">
        <v>48609.41</v>
      </c>
      <c r="I280" s="3">
        <v>9324</v>
      </c>
      <c r="J280" s="3">
        <v>0.21299999999999999</v>
      </c>
      <c r="K280" s="3">
        <v>18</v>
      </c>
      <c r="L280" s="3">
        <v>86.5</v>
      </c>
      <c r="M280" s="3">
        <v>1.44</v>
      </c>
      <c r="N280" s="3">
        <v>0</v>
      </c>
      <c r="O280" s="3">
        <v>3.9</v>
      </c>
      <c r="P280" s="3">
        <v>756619.77</v>
      </c>
      <c r="Q280" s="3">
        <v>112057.69</v>
      </c>
    </row>
    <row r="281" spans="1:17">
      <c r="A281" s="3" t="s">
        <v>91</v>
      </c>
      <c r="B281" s="5">
        <v>45748</v>
      </c>
      <c r="C281" s="3" t="s">
        <v>16</v>
      </c>
      <c r="D281" s="3" t="s">
        <v>24</v>
      </c>
      <c r="E281" s="4">
        <f t="shared" si="12"/>
        <v>1</v>
      </c>
      <c r="F281" s="4">
        <f t="shared" si="13"/>
        <v>0</v>
      </c>
      <c r="G281" s="4">
        <f t="shared" si="14"/>
        <v>0</v>
      </c>
      <c r="H281" s="3">
        <v>70284.06</v>
      </c>
      <c r="I281" s="3">
        <v>9109</v>
      </c>
      <c r="J281" s="3">
        <v>4.0000000000000001E-3</v>
      </c>
      <c r="K281" s="3">
        <v>23</v>
      </c>
      <c r="L281" s="3">
        <v>87</v>
      </c>
      <c r="M281" s="3">
        <v>3.65</v>
      </c>
      <c r="N281" s="3">
        <v>0</v>
      </c>
      <c r="O281" s="3">
        <v>3.7</v>
      </c>
      <c r="P281" s="3">
        <v>761122.42</v>
      </c>
      <c r="Q281" s="3">
        <v>149802.04</v>
      </c>
    </row>
    <row r="282" spans="1:17">
      <c r="A282" s="3" t="s">
        <v>92</v>
      </c>
      <c r="B282" s="5">
        <v>45658</v>
      </c>
      <c r="C282" s="3" t="s">
        <v>18</v>
      </c>
      <c r="D282" s="3" t="s">
        <v>24</v>
      </c>
      <c r="E282" s="4">
        <f t="shared" si="12"/>
        <v>1</v>
      </c>
      <c r="F282" s="4">
        <f t="shared" si="13"/>
        <v>0</v>
      </c>
      <c r="G282" s="4">
        <f t="shared" si="14"/>
        <v>0</v>
      </c>
      <c r="H282" s="3">
        <v>45940.39</v>
      </c>
      <c r="I282" s="3">
        <v>4022</v>
      </c>
      <c r="J282" s="3">
        <v>6.9000000000000006E-2</v>
      </c>
      <c r="K282" s="3">
        <v>10</v>
      </c>
      <c r="L282" s="3">
        <v>83</v>
      </c>
      <c r="M282" s="3">
        <v>1.23</v>
      </c>
      <c r="N282" s="3">
        <v>1</v>
      </c>
      <c r="O282" s="3">
        <v>3.8</v>
      </c>
      <c r="P282" s="3">
        <v>524899.56999999995</v>
      </c>
      <c r="Q282" s="3">
        <v>63619.98</v>
      </c>
    </row>
    <row r="283" spans="1:17">
      <c r="A283" s="3" t="s">
        <v>92</v>
      </c>
      <c r="B283" s="5">
        <v>45689</v>
      </c>
      <c r="C283" s="3" t="s">
        <v>18</v>
      </c>
      <c r="D283" s="3" t="s">
        <v>24</v>
      </c>
      <c r="E283" s="4">
        <f t="shared" si="12"/>
        <v>1</v>
      </c>
      <c r="F283" s="4">
        <f t="shared" si="13"/>
        <v>0</v>
      </c>
      <c r="G283" s="4">
        <f t="shared" si="14"/>
        <v>0</v>
      </c>
      <c r="H283" s="3">
        <v>34771.26</v>
      </c>
      <c r="I283" s="3">
        <v>4355</v>
      </c>
      <c r="J283" s="3">
        <v>5.0999999999999997E-2</v>
      </c>
      <c r="K283" s="3">
        <v>15</v>
      </c>
      <c r="L283" s="3">
        <v>87.9</v>
      </c>
      <c r="M283" s="3">
        <v>3.09</v>
      </c>
      <c r="N283" s="3">
        <v>0</v>
      </c>
      <c r="O283" s="3">
        <v>4</v>
      </c>
      <c r="P283" s="3">
        <v>555557.77</v>
      </c>
      <c r="Q283" s="3">
        <v>86475.51</v>
      </c>
    </row>
    <row r="284" spans="1:17">
      <c r="A284" s="3" t="s">
        <v>92</v>
      </c>
      <c r="B284" s="5">
        <v>45717</v>
      </c>
      <c r="C284" s="3" t="s">
        <v>18</v>
      </c>
      <c r="D284" s="3" t="s">
        <v>24</v>
      </c>
      <c r="E284" s="4">
        <f t="shared" si="12"/>
        <v>1</v>
      </c>
      <c r="F284" s="4">
        <f t="shared" si="13"/>
        <v>0</v>
      </c>
      <c r="G284" s="4">
        <f t="shared" si="14"/>
        <v>0</v>
      </c>
      <c r="H284" s="3">
        <v>66104.19</v>
      </c>
      <c r="I284" s="3">
        <v>5745</v>
      </c>
      <c r="J284" s="3">
        <v>7.0000000000000007E-2</v>
      </c>
      <c r="K284" s="3">
        <v>17</v>
      </c>
      <c r="L284" s="3">
        <v>95.8</v>
      </c>
      <c r="M284" s="3">
        <v>3.15</v>
      </c>
      <c r="N284" s="3">
        <v>0</v>
      </c>
      <c r="O284" s="3">
        <v>4</v>
      </c>
      <c r="P284" s="3">
        <v>714083.68</v>
      </c>
      <c r="Q284" s="3">
        <v>127231.74</v>
      </c>
    </row>
    <row r="285" spans="1:17">
      <c r="A285" s="3" t="s">
        <v>92</v>
      </c>
      <c r="B285" s="5">
        <v>45748</v>
      </c>
      <c r="C285" s="3" t="s">
        <v>18</v>
      </c>
      <c r="D285" s="3" t="s">
        <v>24</v>
      </c>
      <c r="E285" s="4">
        <f t="shared" si="12"/>
        <v>1</v>
      </c>
      <c r="F285" s="4">
        <f t="shared" si="13"/>
        <v>0</v>
      </c>
      <c r="G285" s="4">
        <f t="shared" si="14"/>
        <v>0</v>
      </c>
      <c r="H285" s="3">
        <v>18599.21</v>
      </c>
      <c r="I285" s="3">
        <v>3027</v>
      </c>
      <c r="J285" s="3">
        <v>0.122</v>
      </c>
      <c r="K285" s="3">
        <v>11</v>
      </c>
      <c r="L285" s="3">
        <v>80.900000000000006</v>
      </c>
      <c r="M285" s="3">
        <v>6.44</v>
      </c>
      <c r="N285" s="3">
        <v>0</v>
      </c>
      <c r="O285" s="3">
        <v>4.2</v>
      </c>
      <c r="P285" s="3">
        <v>497439.82</v>
      </c>
      <c r="Q285" s="3">
        <v>93372.75</v>
      </c>
    </row>
    <row r="286" spans="1:17">
      <c r="A286" s="3" t="s">
        <v>93</v>
      </c>
      <c r="B286" s="5">
        <v>45658</v>
      </c>
      <c r="C286" s="3" t="s">
        <v>16</v>
      </c>
      <c r="D286" s="3" t="s">
        <v>27</v>
      </c>
      <c r="E286" s="4">
        <f t="shared" si="12"/>
        <v>0</v>
      </c>
      <c r="F286" s="4">
        <f t="shared" si="13"/>
        <v>0</v>
      </c>
      <c r="G286" s="4">
        <f t="shared" si="14"/>
        <v>1</v>
      </c>
      <c r="H286" s="3">
        <v>60183.06</v>
      </c>
      <c r="I286" s="3">
        <v>5562</v>
      </c>
      <c r="J286" s="3">
        <v>8.9999999999999993E-3</v>
      </c>
      <c r="K286" s="3">
        <v>13</v>
      </c>
      <c r="L286" s="3">
        <v>86.3</v>
      </c>
      <c r="M286" s="3">
        <v>0.2</v>
      </c>
      <c r="N286" s="3">
        <v>1</v>
      </c>
      <c r="O286" s="3">
        <v>4.5</v>
      </c>
      <c r="P286" s="3">
        <v>636775.66</v>
      </c>
      <c r="Q286" s="3">
        <v>122636.86</v>
      </c>
    </row>
    <row r="287" spans="1:17">
      <c r="A287" s="3" t="s">
        <v>93</v>
      </c>
      <c r="B287" s="5">
        <v>45689</v>
      </c>
      <c r="C287" s="3" t="s">
        <v>16</v>
      </c>
      <c r="D287" s="3" t="s">
        <v>27</v>
      </c>
      <c r="E287" s="4">
        <f t="shared" si="12"/>
        <v>0</v>
      </c>
      <c r="F287" s="4">
        <f t="shared" si="13"/>
        <v>0</v>
      </c>
      <c r="G287" s="4">
        <f t="shared" si="14"/>
        <v>1</v>
      </c>
      <c r="H287" s="3">
        <v>74539.14</v>
      </c>
      <c r="I287" s="3">
        <v>4487</v>
      </c>
      <c r="J287" s="3">
        <v>0.14000000000000001</v>
      </c>
      <c r="K287" s="3">
        <v>10</v>
      </c>
      <c r="L287" s="3">
        <v>90.4</v>
      </c>
      <c r="M287" s="3">
        <v>0.59</v>
      </c>
      <c r="N287" s="3">
        <v>0</v>
      </c>
      <c r="O287" s="3">
        <v>4.5</v>
      </c>
      <c r="P287" s="3">
        <v>633009.53</v>
      </c>
      <c r="Q287" s="3">
        <v>123782.67</v>
      </c>
    </row>
    <row r="288" spans="1:17">
      <c r="A288" s="3" t="s">
        <v>93</v>
      </c>
      <c r="B288" s="5">
        <v>45717</v>
      </c>
      <c r="C288" s="3" t="s">
        <v>16</v>
      </c>
      <c r="D288" s="3" t="s">
        <v>27</v>
      </c>
      <c r="E288" s="4">
        <f t="shared" si="12"/>
        <v>0</v>
      </c>
      <c r="F288" s="4">
        <f t="shared" si="13"/>
        <v>0</v>
      </c>
      <c r="G288" s="4">
        <f t="shared" si="14"/>
        <v>1</v>
      </c>
      <c r="H288" s="3">
        <v>55371.97</v>
      </c>
      <c r="I288" s="3">
        <v>4162</v>
      </c>
      <c r="J288" s="3">
        <v>0.183</v>
      </c>
      <c r="K288" s="3">
        <v>11</v>
      </c>
      <c r="L288" s="3">
        <v>92</v>
      </c>
      <c r="M288" s="3">
        <v>0.2</v>
      </c>
      <c r="N288" s="3">
        <v>1</v>
      </c>
      <c r="O288" s="3">
        <v>4.2</v>
      </c>
      <c r="P288" s="3">
        <v>609949</v>
      </c>
      <c r="Q288" s="3">
        <v>126789.25</v>
      </c>
    </row>
    <row r="289" spans="1:17">
      <c r="A289" s="3" t="s">
        <v>93</v>
      </c>
      <c r="B289" s="5">
        <v>45748</v>
      </c>
      <c r="C289" s="3" t="s">
        <v>16</v>
      </c>
      <c r="D289" s="3" t="s">
        <v>27</v>
      </c>
      <c r="E289" s="4">
        <f t="shared" si="12"/>
        <v>0</v>
      </c>
      <c r="F289" s="4">
        <f t="shared" si="13"/>
        <v>0</v>
      </c>
      <c r="G289" s="4">
        <f t="shared" si="14"/>
        <v>1</v>
      </c>
      <c r="H289" s="3">
        <v>40928.69</v>
      </c>
      <c r="I289" s="3">
        <v>4094</v>
      </c>
      <c r="J289" s="3">
        <v>0.17399999999999999</v>
      </c>
      <c r="K289" s="3">
        <v>13</v>
      </c>
      <c r="L289" s="3">
        <v>82.4</v>
      </c>
      <c r="M289" s="3">
        <v>1.36</v>
      </c>
      <c r="N289" s="3">
        <v>0</v>
      </c>
      <c r="O289" s="3">
        <v>4.8</v>
      </c>
      <c r="P289" s="3">
        <v>548103.69999999995</v>
      </c>
      <c r="Q289" s="3">
        <v>99905.52</v>
      </c>
    </row>
    <row r="290" spans="1:17">
      <c r="A290" s="3" t="s">
        <v>94</v>
      </c>
      <c r="B290" s="5">
        <v>45658</v>
      </c>
      <c r="C290" s="3" t="s">
        <v>16</v>
      </c>
      <c r="D290" s="3" t="s">
        <v>15</v>
      </c>
      <c r="E290" s="4">
        <f t="shared" si="12"/>
        <v>0</v>
      </c>
      <c r="F290" s="4">
        <f t="shared" si="13"/>
        <v>1</v>
      </c>
      <c r="G290" s="4">
        <f t="shared" si="14"/>
        <v>0</v>
      </c>
      <c r="H290" s="3">
        <v>70012.41</v>
      </c>
      <c r="I290" s="3">
        <v>8484</v>
      </c>
      <c r="J290" s="3">
        <v>0.27300000000000002</v>
      </c>
      <c r="K290" s="3">
        <v>23</v>
      </c>
      <c r="L290" s="3">
        <v>72.900000000000006</v>
      </c>
      <c r="M290" s="3">
        <v>3.34</v>
      </c>
      <c r="N290" s="3">
        <v>0</v>
      </c>
      <c r="O290" s="3">
        <v>3.7</v>
      </c>
      <c r="P290" s="3">
        <v>729424.42</v>
      </c>
      <c r="Q290" s="3">
        <v>75592.28</v>
      </c>
    </row>
    <row r="291" spans="1:17">
      <c r="A291" s="3" t="s">
        <v>94</v>
      </c>
      <c r="B291" s="5">
        <v>45689</v>
      </c>
      <c r="C291" s="3" t="s">
        <v>16</v>
      </c>
      <c r="D291" s="3" t="s">
        <v>15</v>
      </c>
      <c r="E291" s="4">
        <f t="shared" si="12"/>
        <v>0</v>
      </c>
      <c r="F291" s="4">
        <f t="shared" si="13"/>
        <v>1</v>
      </c>
      <c r="G291" s="4">
        <f t="shared" si="14"/>
        <v>0</v>
      </c>
      <c r="H291" s="3">
        <v>68909.259999999995</v>
      </c>
      <c r="I291" s="3">
        <v>7794</v>
      </c>
      <c r="J291" s="3">
        <v>0.28399999999999997</v>
      </c>
      <c r="K291" s="3">
        <v>22</v>
      </c>
      <c r="L291" s="3">
        <v>89</v>
      </c>
      <c r="M291" s="3">
        <v>0.33</v>
      </c>
      <c r="N291" s="3">
        <v>0</v>
      </c>
      <c r="O291" s="3">
        <v>4</v>
      </c>
      <c r="P291" s="3">
        <v>696261.49</v>
      </c>
      <c r="Q291" s="3">
        <v>72455.350000000006</v>
      </c>
    </row>
    <row r="292" spans="1:17">
      <c r="A292" s="3" t="s">
        <v>94</v>
      </c>
      <c r="B292" s="5">
        <v>45717</v>
      </c>
      <c r="C292" s="3" t="s">
        <v>16</v>
      </c>
      <c r="D292" s="3" t="s">
        <v>15</v>
      </c>
      <c r="E292" s="4">
        <f t="shared" si="12"/>
        <v>0</v>
      </c>
      <c r="F292" s="4">
        <f t="shared" si="13"/>
        <v>1</v>
      </c>
      <c r="G292" s="4">
        <f t="shared" si="14"/>
        <v>0</v>
      </c>
      <c r="H292" s="3">
        <v>56737.3</v>
      </c>
      <c r="I292" s="3">
        <v>8300</v>
      </c>
      <c r="J292" s="3">
        <v>3.2000000000000001E-2</v>
      </c>
      <c r="K292" s="3">
        <v>21</v>
      </c>
      <c r="L292" s="3">
        <v>83.2</v>
      </c>
      <c r="M292" s="3">
        <v>3.44</v>
      </c>
      <c r="N292" s="3">
        <v>1</v>
      </c>
      <c r="O292" s="3">
        <v>4.3</v>
      </c>
      <c r="P292" s="3">
        <v>813316.71</v>
      </c>
      <c r="Q292" s="3">
        <v>110077.42</v>
      </c>
    </row>
    <row r="293" spans="1:17">
      <c r="A293" s="3" t="s">
        <v>94</v>
      </c>
      <c r="B293" s="5">
        <v>45748</v>
      </c>
      <c r="C293" s="3" t="s">
        <v>16</v>
      </c>
      <c r="D293" s="3" t="s">
        <v>15</v>
      </c>
      <c r="E293" s="4">
        <f t="shared" si="12"/>
        <v>0</v>
      </c>
      <c r="F293" s="4">
        <f t="shared" si="13"/>
        <v>1</v>
      </c>
      <c r="G293" s="4">
        <f t="shared" si="14"/>
        <v>0</v>
      </c>
      <c r="H293" s="3">
        <v>54080.91</v>
      </c>
      <c r="I293" s="3">
        <v>7083</v>
      </c>
      <c r="J293" s="3">
        <v>0</v>
      </c>
      <c r="K293" s="3">
        <v>15</v>
      </c>
      <c r="L293" s="3">
        <v>97</v>
      </c>
      <c r="M293" s="3">
        <v>5.33</v>
      </c>
      <c r="N293" s="3">
        <v>0</v>
      </c>
      <c r="O293" s="3">
        <v>4.0999999999999996</v>
      </c>
      <c r="P293" s="3">
        <v>702068.92</v>
      </c>
      <c r="Q293" s="3">
        <v>111266.63</v>
      </c>
    </row>
    <row r="294" spans="1:17">
      <c r="A294" s="3" t="s">
        <v>95</v>
      </c>
      <c r="B294" s="5">
        <v>45658</v>
      </c>
      <c r="C294" s="3" t="s">
        <v>18</v>
      </c>
      <c r="D294" s="3" t="s">
        <v>27</v>
      </c>
      <c r="E294" s="4">
        <f t="shared" si="12"/>
        <v>0</v>
      </c>
      <c r="F294" s="4">
        <f t="shared" si="13"/>
        <v>0</v>
      </c>
      <c r="G294" s="4">
        <f t="shared" si="14"/>
        <v>1</v>
      </c>
      <c r="H294" s="3">
        <v>51996.32</v>
      </c>
      <c r="I294" s="3">
        <v>3834</v>
      </c>
      <c r="J294" s="3">
        <v>9.6000000000000002E-2</v>
      </c>
      <c r="K294" s="3">
        <v>8</v>
      </c>
      <c r="L294" s="3">
        <v>86.7</v>
      </c>
      <c r="M294" s="3">
        <v>6.04</v>
      </c>
      <c r="N294" s="3">
        <v>0</v>
      </c>
      <c r="O294" s="3">
        <v>4.5</v>
      </c>
      <c r="P294" s="3">
        <v>546223.69999999995</v>
      </c>
      <c r="Q294" s="3">
        <v>100769.17</v>
      </c>
    </row>
    <row r="295" spans="1:17">
      <c r="A295" s="3" t="s">
        <v>95</v>
      </c>
      <c r="B295" s="5">
        <v>45689</v>
      </c>
      <c r="C295" s="3" t="s">
        <v>18</v>
      </c>
      <c r="D295" s="3" t="s">
        <v>27</v>
      </c>
      <c r="E295" s="4">
        <f t="shared" si="12"/>
        <v>0</v>
      </c>
      <c r="F295" s="4">
        <f t="shared" si="13"/>
        <v>0</v>
      </c>
      <c r="G295" s="4">
        <f t="shared" si="14"/>
        <v>1</v>
      </c>
      <c r="H295" s="3">
        <v>40102.879999999997</v>
      </c>
      <c r="I295" s="3">
        <v>2358</v>
      </c>
      <c r="J295" s="3">
        <v>0.11899999999999999</v>
      </c>
      <c r="K295" s="3">
        <v>9</v>
      </c>
      <c r="L295" s="3">
        <v>88.7</v>
      </c>
      <c r="M295" s="3">
        <v>1.6</v>
      </c>
      <c r="N295" s="3">
        <v>0</v>
      </c>
      <c r="O295" s="3">
        <v>4.2</v>
      </c>
      <c r="P295" s="3">
        <v>533121.26</v>
      </c>
      <c r="Q295" s="3">
        <v>55063.39</v>
      </c>
    </row>
    <row r="296" spans="1:17">
      <c r="A296" s="3" t="s">
        <v>95</v>
      </c>
      <c r="B296" s="5">
        <v>45717</v>
      </c>
      <c r="C296" s="3" t="s">
        <v>18</v>
      </c>
      <c r="D296" s="3" t="s">
        <v>27</v>
      </c>
      <c r="E296" s="4">
        <f t="shared" si="12"/>
        <v>0</v>
      </c>
      <c r="F296" s="4">
        <f t="shared" si="13"/>
        <v>0</v>
      </c>
      <c r="G296" s="4">
        <f t="shared" si="14"/>
        <v>1</v>
      </c>
      <c r="H296" s="3">
        <v>59825.51</v>
      </c>
      <c r="I296" s="3">
        <v>1231</v>
      </c>
      <c r="J296" s="3">
        <v>0.214</v>
      </c>
      <c r="K296" s="3">
        <v>10</v>
      </c>
      <c r="L296" s="3">
        <v>84.8</v>
      </c>
      <c r="M296" s="3">
        <v>8.9600000000000009</v>
      </c>
      <c r="N296" s="3">
        <v>0</v>
      </c>
      <c r="O296" s="3">
        <v>4.7</v>
      </c>
      <c r="P296" s="3">
        <v>498970.32</v>
      </c>
      <c r="Q296" s="3">
        <v>69656.7</v>
      </c>
    </row>
    <row r="297" spans="1:17">
      <c r="A297" s="3" t="s">
        <v>95</v>
      </c>
      <c r="B297" s="5">
        <v>45748</v>
      </c>
      <c r="C297" s="3" t="s">
        <v>18</v>
      </c>
      <c r="D297" s="3" t="s">
        <v>27</v>
      </c>
      <c r="E297" s="4">
        <f t="shared" si="12"/>
        <v>0</v>
      </c>
      <c r="F297" s="4">
        <f t="shared" si="13"/>
        <v>0</v>
      </c>
      <c r="G297" s="4">
        <f t="shared" si="14"/>
        <v>1</v>
      </c>
      <c r="H297" s="3">
        <v>27398.28</v>
      </c>
      <c r="I297" s="3">
        <v>1723</v>
      </c>
      <c r="J297" s="3">
        <v>0.17100000000000001</v>
      </c>
      <c r="K297" s="3">
        <v>9</v>
      </c>
      <c r="L297" s="3">
        <v>81</v>
      </c>
      <c r="M297" s="3">
        <v>0.74</v>
      </c>
      <c r="N297" s="3">
        <v>0</v>
      </c>
      <c r="O297" s="3">
        <v>4.5999999999999996</v>
      </c>
      <c r="P297" s="3">
        <v>487738.26</v>
      </c>
      <c r="Q297" s="3">
        <v>96435.6</v>
      </c>
    </row>
    <row r="298" spans="1:17">
      <c r="A298" s="3" t="s">
        <v>96</v>
      </c>
      <c r="B298" s="5">
        <v>45658</v>
      </c>
      <c r="C298" s="3" t="s">
        <v>18</v>
      </c>
      <c r="D298" s="3" t="s">
        <v>27</v>
      </c>
      <c r="E298" s="4">
        <f t="shared" si="12"/>
        <v>0</v>
      </c>
      <c r="F298" s="4">
        <f t="shared" si="13"/>
        <v>0</v>
      </c>
      <c r="G298" s="4">
        <f t="shared" si="14"/>
        <v>1</v>
      </c>
      <c r="H298" s="3">
        <v>55599.56</v>
      </c>
      <c r="I298" s="3">
        <v>5896</v>
      </c>
      <c r="J298" s="3">
        <v>3.5999999999999997E-2</v>
      </c>
      <c r="K298" s="3">
        <v>12</v>
      </c>
      <c r="L298" s="3">
        <v>93.1</v>
      </c>
      <c r="M298" s="3">
        <v>6.13</v>
      </c>
      <c r="N298" s="3">
        <v>0</v>
      </c>
      <c r="O298" s="3">
        <v>3.3</v>
      </c>
      <c r="P298" s="3">
        <v>668459.37</v>
      </c>
      <c r="Q298" s="3">
        <v>126435.42</v>
      </c>
    </row>
    <row r="299" spans="1:17">
      <c r="A299" s="3" t="s">
        <v>96</v>
      </c>
      <c r="B299" s="5">
        <v>45689</v>
      </c>
      <c r="C299" s="3" t="s">
        <v>18</v>
      </c>
      <c r="D299" s="3" t="s">
        <v>27</v>
      </c>
      <c r="E299" s="4">
        <f t="shared" si="12"/>
        <v>0</v>
      </c>
      <c r="F299" s="4">
        <f t="shared" si="13"/>
        <v>0</v>
      </c>
      <c r="G299" s="4">
        <f t="shared" si="14"/>
        <v>1</v>
      </c>
      <c r="H299" s="3">
        <v>55477.61</v>
      </c>
      <c r="I299" s="3">
        <v>5903</v>
      </c>
      <c r="J299" s="3">
        <v>0.10199999999999999</v>
      </c>
      <c r="K299" s="3">
        <v>14</v>
      </c>
      <c r="L299" s="3">
        <v>96.2</v>
      </c>
      <c r="M299" s="3">
        <v>1.41</v>
      </c>
      <c r="N299" s="3">
        <v>0</v>
      </c>
      <c r="O299" s="3">
        <v>3.3</v>
      </c>
      <c r="P299" s="3">
        <v>763162.45</v>
      </c>
      <c r="Q299" s="3">
        <v>162524.04999999999</v>
      </c>
    </row>
    <row r="300" spans="1:17">
      <c r="A300" s="3" t="s">
        <v>96</v>
      </c>
      <c r="B300" s="5">
        <v>45717</v>
      </c>
      <c r="C300" s="3" t="s">
        <v>18</v>
      </c>
      <c r="D300" s="3" t="s">
        <v>27</v>
      </c>
      <c r="E300" s="4">
        <f t="shared" si="12"/>
        <v>0</v>
      </c>
      <c r="F300" s="4">
        <f t="shared" si="13"/>
        <v>0</v>
      </c>
      <c r="G300" s="4">
        <f t="shared" si="14"/>
        <v>1</v>
      </c>
      <c r="H300" s="3">
        <v>46174.7</v>
      </c>
      <c r="I300" s="3">
        <v>4898</v>
      </c>
      <c r="J300" s="3">
        <v>0.114</v>
      </c>
      <c r="K300" s="3">
        <v>11</v>
      </c>
      <c r="L300" s="3">
        <v>91.7</v>
      </c>
      <c r="M300" s="3">
        <v>3.75</v>
      </c>
      <c r="N300" s="3">
        <v>0</v>
      </c>
      <c r="O300" s="3">
        <v>3.1</v>
      </c>
      <c r="P300" s="3">
        <v>599017.32999999996</v>
      </c>
      <c r="Q300" s="3">
        <v>134009.92000000001</v>
      </c>
    </row>
    <row r="301" spans="1:17">
      <c r="A301" s="3" t="s">
        <v>96</v>
      </c>
      <c r="B301" s="5">
        <v>45748</v>
      </c>
      <c r="C301" s="3" t="s">
        <v>18</v>
      </c>
      <c r="D301" s="3" t="s">
        <v>27</v>
      </c>
      <c r="E301" s="4">
        <f t="shared" si="12"/>
        <v>0</v>
      </c>
      <c r="F301" s="4">
        <f t="shared" si="13"/>
        <v>0</v>
      </c>
      <c r="G301" s="4">
        <f t="shared" si="14"/>
        <v>1</v>
      </c>
      <c r="H301" s="3">
        <v>24362.98</v>
      </c>
      <c r="I301" s="3">
        <v>1462</v>
      </c>
      <c r="J301" s="3">
        <v>0.11700000000000001</v>
      </c>
      <c r="K301" s="3">
        <v>6</v>
      </c>
      <c r="L301" s="3">
        <v>89.3</v>
      </c>
      <c r="M301" s="3">
        <v>15.06</v>
      </c>
      <c r="N301" s="3">
        <v>0</v>
      </c>
      <c r="O301" s="3">
        <v>3.2</v>
      </c>
      <c r="P301" s="3">
        <v>401582.58</v>
      </c>
      <c r="Q301" s="3">
        <v>68454.929999999993</v>
      </c>
    </row>
    <row r="302" spans="1:17">
      <c r="A302" s="3" t="s">
        <v>97</v>
      </c>
      <c r="B302" s="5">
        <v>45658</v>
      </c>
      <c r="C302" s="3" t="s">
        <v>28</v>
      </c>
      <c r="D302" s="3" t="s">
        <v>20</v>
      </c>
      <c r="E302" s="4">
        <f t="shared" si="12"/>
        <v>0</v>
      </c>
      <c r="F302" s="4">
        <f t="shared" si="13"/>
        <v>0</v>
      </c>
      <c r="G302" s="4">
        <f t="shared" si="14"/>
        <v>0</v>
      </c>
      <c r="H302" s="3">
        <v>40647.67</v>
      </c>
      <c r="I302" s="3">
        <v>8252</v>
      </c>
      <c r="J302" s="3">
        <v>0.14099999999999999</v>
      </c>
      <c r="K302" s="3">
        <v>22</v>
      </c>
      <c r="L302" s="3">
        <v>88.2</v>
      </c>
      <c r="M302" s="3">
        <v>5.07</v>
      </c>
      <c r="N302" s="3">
        <v>1</v>
      </c>
      <c r="O302" s="3">
        <v>4.0999999999999996</v>
      </c>
      <c r="P302" s="3">
        <v>703812.99</v>
      </c>
      <c r="Q302" s="3">
        <v>133577.98000000001</v>
      </c>
    </row>
    <row r="303" spans="1:17">
      <c r="A303" s="3" t="s">
        <v>97</v>
      </c>
      <c r="B303" s="5">
        <v>45689</v>
      </c>
      <c r="C303" s="3" t="s">
        <v>28</v>
      </c>
      <c r="D303" s="3" t="s">
        <v>20</v>
      </c>
      <c r="E303" s="4">
        <f t="shared" si="12"/>
        <v>0</v>
      </c>
      <c r="F303" s="4">
        <f t="shared" si="13"/>
        <v>0</v>
      </c>
      <c r="G303" s="4">
        <f t="shared" si="14"/>
        <v>0</v>
      </c>
      <c r="H303" s="3">
        <v>63986.98</v>
      </c>
      <c r="I303" s="3">
        <v>7989</v>
      </c>
      <c r="J303" s="3">
        <v>7.3999999999999996E-2</v>
      </c>
      <c r="K303" s="3">
        <v>20</v>
      </c>
      <c r="L303" s="3">
        <v>83.3</v>
      </c>
      <c r="M303" s="3">
        <v>3.6</v>
      </c>
      <c r="N303" s="3">
        <v>0</v>
      </c>
      <c r="O303" s="3">
        <v>3.7</v>
      </c>
      <c r="P303" s="3">
        <v>724346.73</v>
      </c>
      <c r="Q303" s="3">
        <v>155013.91</v>
      </c>
    </row>
    <row r="304" spans="1:17">
      <c r="A304" s="3" t="s">
        <v>97</v>
      </c>
      <c r="B304" s="5">
        <v>45717</v>
      </c>
      <c r="C304" s="3" t="s">
        <v>28</v>
      </c>
      <c r="D304" s="3" t="s">
        <v>20</v>
      </c>
      <c r="E304" s="4">
        <f t="shared" si="12"/>
        <v>0</v>
      </c>
      <c r="F304" s="4">
        <f t="shared" si="13"/>
        <v>0</v>
      </c>
      <c r="G304" s="4">
        <f t="shared" si="14"/>
        <v>0</v>
      </c>
      <c r="H304" s="3">
        <v>52843.75</v>
      </c>
      <c r="I304" s="3">
        <v>8268</v>
      </c>
      <c r="J304" s="3">
        <v>0.13800000000000001</v>
      </c>
      <c r="K304" s="3">
        <v>19</v>
      </c>
      <c r="L304" s="3">
        <v>87.3</v>
      </c>
      <c r="M304" s="3">
        <v>4.3899999999999997</v>
      </c>
      <c r="N304" s="3">
        <v>1</v>
      </c>
      <c r="O304" s="3">
        <v>4.7</v>
      </c>
      <c r="P304" s="3">
        <v>730890.01</v>
      </c>
      <c r="Q304" s="3">
        <v>105502.56</v>
      </c>
    </row>
    <row r="305" spans="1:17">
      <c r="A305" s="3" t="s">
        <v>97</v>
      </c>
      <c r="B305" s="5">
        <v>45748</v>
      </c>
      <c r="C305" s="3" t="s">
        <v>28</v>
      </c>
      <c r="D305" s="3" t="s">
        <v>20</v>
      </c>
      <c r="E305" s="4">
        <f t="shared" si="12"/>
        <v>0</v>
      </c>
      <c r="F305" s="4">
        <f t="shared" si="13"/>
        <v>0</v>
      </c>
      <c r="G305" s="4">
        <f t="shared" si="14"/>
        <v>0</v>
      </c>
      <c r="H305" s="3">
        <v>31997.25</v>
      </c>
      <c r="I305" s="3">
        <v>8183</v>
      </c>
      <c r="J305" s="3">
        <v>0.19800000000000001</v>
      </c>
      <c r="K305" s="3">
        <v>18</v>
      </c>
      <c r="L305" s="3">
        <v>93</v>
      </c>
      <c r="M305" s="3">
        <v>2.79</v>
      </c>
      <c r="N305" s="3">
        <v>0</v>
      </c>
      <c r="O305" s="3">
        <v>4.2</v>
      </c>
      <c r="P305" s="3">
        <v>780580.95</v>
      </c>
      <c r="Q305" s="3">
        <v>138144.46</v>
      </c>
    </row>
    <row r="306" spans="1:17">
      <c r="A306" s="3" t="s">
        <v>98</v>
      </c>
      <c r="B306" s="5">
        <v>45658</v>
      </c>
      <c r="C306" s="3" t="s">
        <v>16</v>
      </c>
      <c r="D306" s="3" t="s">
        <v>24</v>
      </c>
      <c r="E306" s="4">
        <f t="shared" si="12"/>
        <v>1</v>
      </c>
      <c r="F306" s="4">
        <f t="shared" si="13"/>
        <v>0</v>
      </c>
      <c r="G306" s="4">
        <f t="shared" si="14"/>
        <v>0</v>
      </c>
      <c r="H306" s="3">
        <v>54948.02</v>
      </c>
      <c r="I306" s="3">
        <v>6534</v>
      </c>
      <c r="J306" s="3">
        <v>0.183</v>
      </c>
      <c r="K306" s="3">
        <v>14</v>
      </c>
      <c r="L306" s="3">
        <v>94.5</v>
      </c>
      <c r="M306" s="3">
        <v>1.56</v>
      </c>
      <c r="N306" s="3">
        <v>0</v>
      </c>
      <c r="O306" s="3">
        <v>4</v>
      </c>
      <c r="P306" s="3">
        <v>727957.48</v>
      </c>
      <c r="Q306" s="3">
        <v>74805.23</v>
      </c>
    </row>
    <row r="307" spans="1:17">
      <c r="A307" s="3" t="s">
        <v>98</v>
      </c>
      <c r="B307" s="5">
        <v>45689</v>
      </c>
      <c r="C307" s="3" t="s">
        <v>16</v>
      </c>
      <c r="D307" s="3" t="s">
        <v>24</v>
      </c>
      <c r="E307" s="4">
        <f t="shared" si="12"/>
        <v>1</v>
      </c>
      <c r="F307" s="4">
        <f t="shared" si="13"/>
        <v>0</v>
      </c>
      <c r="G307" s="4">
        <f t="shared" si="14"/>
        <v>0</v>
      </c>
      <c r="H307" s="3">
        <v>46146.239999999998</v>
      </c>
      <c r="I307" s="3">
        <v>5804</v>
      </c>
      <c r="J307" s="3">
        <v>4.7E-2</v>
      </c>
      <c r="K307" s="3">
        <v>16</v>
      </c>
      <c r="L307" s="3">
        <v>86.9</v>
      </c>
      <c r="M307" s="3">
        <v>15.82</v>
      </c>
      <c r="N307" s="3">
        <v>0</v>
      </c>
      <c r="O307" s="3">
        <v>3.8</v>
      </c>
      <c r="P307" s="3">
        <v>538376</v>
      </c>
      <c r="Q307" s="3">
        <v>87605.62</v>
      </c>
    </row>
    <row r="308" spans="1:17">
      <c r="A308" s="3" t="s">
        <v>98</v>
      </c>
      <c r="B308" s="5">
        <v>45717</v>
      </c>
      <c r="C308" s="3" t="s">
        <v>16</v>
      </c>
      <c r="D308" s="3" t="s">
        <v>24</v>
      </c>
      <c r="E308" s="4">
        <f t="shared" si="12"/>
        <v>1</v>
      </c>
      <c r="F308" s="4">
        <f t="shared" si="13"/>
        <v>0</v>
      </c>
      <c r="G308" s="4">
        <f t="shared" si="14"/>
        <v>0</v>
      </c>
      <c r="H308" s="3">
        <v>22387.26</v>
      </c>
      <c r="I308" s="3">
        <v>6301</v>
      </c>
      <c r="J308" s="3">
        <v>0.14599999999999999</v>
      </c>
      <c r="K308" s="3">
        <v>14</v>
      </c>
      <c r="L308" s="3">
        <v>85.9</v>
      </c>
      <c r="M308" s="3">
        <v>1.17</v>
      </c>
      <c r="N308" s="3">
        <v>1</v>
      </c>
      <c r="O308" s="3">
        <v>3.7</v>
      </c>
      <c r="P308" s="3">
        <v>665342.49</v>
      </c>
      <c r="Q308" s="3">
        <v>93441.81</v>
      </c>
    </row>
    <row r="309" spans="1:17">
      <c r="A309" s="3" t="s">
        <v>98</v>
      </c>
      <c r="B309" s="5">
        <v>45748</v>
      </c>
      <c r="C309" s="3" t="s">
        <v>16</v>
      </c>
      <c r="D309" s="3" t="s">
        <v>24</v>
      </c>
      <c r="E309" s="4">
        <f t="shared" si="12"/>
        <v>1</v>
      </c>
      <c r="F309" s="4">
        <f t="shared" si="13"/>
        <v>0</v>
      </c>
      <c r="G309" s="4">
        <f t="shared" si="14"/>
        <v>0</v>
      </c>
      <c r="H309" s="3">
        <v>60684.05</v>
      </c>
      <c r="I309" s="3">
        <v>6399</v>
      </c>
      <c r="J309" s="3">
        <v>7.4999999999999997E-2</v>
      </c>
      <c r="K309" s="3">
        <v>16</v>
      </c>
      <c r="L309" s="3">
        <v>99</v>
      </c>
      <c r="M309" s="3">
        <v>3.82</v>
      </c>
      <c r="N309" s="3">
        <v>0</v>
      </c>
      <c r="O309" s="3">
        <v>3.5</v>
      </c>
      <c r="P309" s="3">
        <v>651164.18000000005</v>
      </c>
      <c r="Q309" s="3">
        <v>109466.5</v>
      </c>
    </row>
    <row r="310" spans="1:17">
      <c r="A310" s="3" t="s">
        <v>99</v>
      </c>
      <c r="B310" s="5">
        <v>45658</v>
      </c>
      <c r="C310" s="3" t="s">
        <v>18</v>
      </c>
      <c r="D310" s="3" t="s">
        <v>24</v>
      </c>
      <c r="E310" s="4">
        <f t="shared" si="12"/>
        <v>1</v>
      </c>
      <c r="F310" s="4">
        <f t="shared" si="13"/>
        <v>0</v>
      </c>
      <c r="G310" s="4">
        <f t="shared" si="14"/>
        <v>0</v>
      </c>
      <c r="H310" s="3">
        <v>48465.599999999999</v>
      </c>
      <c r="I310" s="3">
        <v>5759</v>
      </c>
      <c r="J310" s="3">
        <v>0.154</v>
      </c>
      <c r="K310" s="3">
        <v>13</v>
      </c>
      <c r="L310" s="3">
        <v>87.5</v>
      </c>
      <c r="M310" s="3">
        <v>4.1399999999999997</v>
      </c>
      <c r="N310" s="3">
        <v>0</v>
      </c>
      <c r="O310" s="3">
        <v>4</v>
      </c>
      <c r="P310" s="3">
        <v>628538.30000000005</v>
      </c>
      <c r="Q310" s="3">
        <v>112509.15</v>
      </c>
    </row>
    <row r="311" spans="1:17">
      <c r="A311" s="3" t="s">
        <v>99</v>
      </c>
      <c r="B311" s="5">
        <v>45689</v>
      </c>
      <c r="C311" s="3" t="s">
        <v>18</v>
      </c>
      <c r="D311" s="3" t="s">
        <v>24</v>
      </c>
      <c r="E311" s="4">
        <f t="shared" si="12"/>
        <v>1</v>
      </c>
      <c r="F311" s="4">
        <f t="shared" si="13"/>
        <v>0</v>
      </c>
      <c r="G311" s="4">
        <f t="shared" si="14"/>
        <v>0</v>
      </c>
      <c r="H311" s="3">
        <v>23702.38</v>
      </c>
      <c r="I311" s="3">
        <v>5285</v>
      </c>
      <c r="J311" s="3">
        <v>0.16700000000000001</v>
      </c>
      <c r="K311" s="3">
        <v>14</v>
      </c>
      <c r="L311" s="3">
        <v>79.7</v>
      </c>
      <c r="M311" s="3">
        <v>1.1000000000000001</v>
      </c>
      <c r="N311" s="3">
        <v>0</v>
      </c>
      <c r="O311" s="3">
        <v>4.3</v>
      </c>
      <c r="P311" s="3">
        <v>536524.84</v>
      </c>
      <c r="Q311" s="3">
        <v>92752.94</v>
      </c>
    </row>
    <row r="312" spans="1:17">
      <c r="A312" s="3" t="s">
        <v>99</v>
      </c>
      <c r="B312" s="5">
        <v>45717</v>
      </c>
      <c r="C312" s="3" t="s">
        <v>18</v>
      </c>
      <c r="D312" s="3" t="s">
        <v>24</v>
      </c>
      <c r="E312" s="4">
        <f t="shared" si="12"/>
        <v>1</v>
      </c>
      <c r="F312" s="4">
        <f t="shared" si="13"/>
        <v>0</v>
      </c>
      <c r="G312" s="4">
        <f t="shared" si="14"/>
        <v>0</v>
      </c>
      <c r="H312" s="3">
        <v>54322.94</v>
      </c>
      <c r="I312" s="3">
        <v>5434</v>
      </c>
      <c r="J312" s="3">
        <v>0.2</v>
      </c>
      <c r="K312" s="3">
        <v>13</v>
      </c>
      <c r="L312" s="3">
        <v>85.7</v>
      </c>
      <c r="M312" s="3">
        <v>10.6</v>
      </c>
      <c r="N312" s="3">
        <v>0</v>
      </c>
      <c r="O312" s="3">
        <v>4.2</v>
      </c>
      <c r="P312" s="3">
        <v>621677.30000000005</v>
      </c>
      <c r="Q312" s="3">
        <v>105192.52</v>
      </c>
    </row>
    <row r="313" spans="1:17">
      <c r="A313" s="3" t="s">
        <v>99</v>
      </c>
      <c r="B313" s="5">
        <v>45748</v>
      </c>
      <c r="C313" s="3" t="s">
        <v>18</v>
      </c>
      <c r="D313" s="3" t="s">
        <v>24</v>
      </c>
      <c r="E313" s="4">
        <f t="shared" si="12"/>
        <v>1</v>
      </c>
      <c r="F313" s="4">
        <f t="shared" si="13"/>
        <v>0</v>
      </c>
      <c r="G313" s="4">
        <f t="shared" si="14"/>
        <v>0</v>
      </c>
      <c r="H313" s="3">
        <v>86026.58</v>
      </c>
      <c r="I313" s="3">
        <v>7479</v>
      </c>
      <c r="J313" s="3">
        <v>0.14199999999999999</v>
      </c>
      <c r="K313" s="3">
        <v>20</v>
      </c>
      <c r="L313" s="3">
        <v>89</v>
      </c>
      <c r="M313" s="3">
        <v>0.9</v>
      </c>
      <c r="N313" s="3">
        <v>0</v>
      </c>
      <c r="O313" s="4">
        <v>0</v>
      </c>
      <c r="P313" s="3">
        <v>771129.07</v>
      </c>
      <c r="Q313" s="3">
        <v>116851.13</v>
      </c>
    </row>
    <row r="314" spans="1:17">
      <c r="A314" s="3" t="s">
        <v>100</v>
      </c>
      <c r="B314" s="5">
        <v>45658</v>
      </c>
      <c r="C314" s="3" t="s">
        <v>16</v>
      </c>
      <c r="D314" s="3" t="s">
        <v>20</v>
      </c>
      <c r="E314" s="4">
        <f t="shared" si="12"/>
        <v>0</v>
      </c>
      <c r="F314" s="4">
        <f t="shared" si="13"/>
        <v>0</v>
      </c>
      <c r="G314" s="4">
        <f t="shared" si="14"/>
        <v>0</v>
      </c>
      <c r="H314" s="3">
        <v>78967.520000000004</v>
      </c>
      <c r="I314" s="3">
        <v>6164</v>
      </c>
      <c r="J314" s="3">
        <v>2.1000000000000001E-2</v>
      </c>
      <c r="K314" s="3">
        <v>16</v>
      </c>
      <c r="L314" s="3">
        <v>85.5</v>
      </c>
      <c r="M314" s="3">
        <v>0.2</v>
      </c>
      <c r="N314" s="3">
        <v>0</v>
      </c>
      <c r="O314" s="3">
        <v>3.4</v>
      </c>
      <c r="P314" s="3">
        <v>702052.47</v>
      </c>
      <c r="Q314" s="3">
        <v>121732.51</v>
      </c>
    </row>
    <row r="315" spans="1:17">
      <c r="A315" s="3" t="s">
        <v>100</v>
      </c>
      <c r="B315" s="5">
        <v>45689</v>
      </c>
      <c r="C315" s="3" t="s">
        <v>16</v>
      </c>
      <c r="D315" s="3" t="s">
        <v>20</v>
      </c>
      <c r="E315" s="4">
        <f t="shared" si="12"/>
        <v>0</v>
      </c>
      <c r="F315" s="4">
        <f t="shared" si="13"/>
        <v>0</v>
      </c>
      <c r="G315" s="4">
        <f t="shared" si="14"/>
        <v>0</v>
      </c>
      <c r="H315" s="3">
        <v>46767.99</v>
      </c>
      <c r="I315" s="3">
        <v>7973</v>
      </c>
      <c r="J315" s="3">
        <v>0.183</v>
      </c>
      <c r="K315" s="3">
        <v>18</v>
      </c>
      <c r="L315" s="3">
        <v>94.8</v>
      </c>
      <c r="M315" s="3">
        <v>4.67</v>
      </c>
      <c r="N315" s="3">
        <v>0</v>
      </c>
      <c r="O315" s="4">
        <v>0</v>
      </c>
      <c r="P315" s="3">
        <v>688368.46</v>
      </c>
      <c r="Q315" s="3">
        <v>93588.42</v>
      </c>
    </row>
    <row r="316" spans="1:17">
      <c r="A316" s="3" t="s">
        <v>100</v>
      </c>
      <c r="B316" s="5">
        <v>45717</v>
      </c>
      <c r="C316" s="3" t="s">
        <v>16</v>
      </c>
      <c r="D316" s="3" t="s">
        <v>20</v>
      </c>
      <c r="E316" s="4">
        <f t="shared" si="12"/>
        <v>0</v>
      </c>
      <c r="F316" s="4">
        <f t="shared" si="13"/>
        <v>0</v>
      </c>
      <c r="G316" s="4">
        <f t="shared" si="14"/>
        <v>0</v>
      </c>
      <c r="H316" s="3">
        <v>62507.16</v>
      </c>
      <c r="I316" s="3">
        <v>6000</v>
      </c>
      <c r="J316" s="3">
        <v>9.0999999999999998E-2</v>
      </c>
      <c r="K316" s="3">
        <v>14</v>
      </c>
      <c r="L316" s="3">
        <v>98.2</v>
      </c>
      <c r="M316" s="3">
        <v>4.38</v>
      </c>
      <c r="N316" s="3">
        <v>1</v>
      </c>
      <c r="O316" s="3">
        <v>3.9</v>
      </c>
      <c r="P316" s="3">
        <v>712375.77</v>
      </c>
      <c r="Q316" s="3">
        <v>104171.53</v>
      </c>
    </row>
    <row r="317" spans="1:17">
      <c r="A317" s="3" t="s">
        <v>100</v>
      </c>
      <c r="B317" s="5">
        <v>45748</v>
      </c>
      <c r="C317" s="3" t="s">
        <v>16</v>
      </c>
      <c r="D317" s="3" t="s">
        <v>20</v>
      </c>
      <c r="E317" s="4">
        <f t="shared" si="12"/>
        <v>0</v>
      </c>
      <c r="F317" s="4">
        <f t="shared" si="13"/>
        <v>0</v>
      </c>
      <c r="G317" s="4">
        <f t="shared" si="14"/>
        <v>0</v>
      </c>
      <c r="H317" s="3">
        <v>66456.28</v>
      </c>
      <c r="I317" s="3">
        <v>9967</v>
      </c>
      <c r="J317" s="3">
        <v>0.108</v>
      </c>
      <c r="K317" s="3">
        <v>20</v>
      </c>
      <c r="L317" s="3">
        <v>94.7</v>
      </c>
      <c r="M317" s="3">
        <v>4.4800000000000004</v>
      </c>
      <c r="N317" s="3">
        <v>0</v>
      </c>
      <c r="O317" s="3">
        <v>4.2</v>
      </c>
      <c r="P317" s="3">
        <v>844710.67</v>
      </c>
      <c r="Q317" s="3">
        <v>137140.18</v>
      </c>
    </row>
    <row r="318" spans="1:17">
      <c r="A318" s="3" t="s">
        <v>101</v>
      </c>
      <c r="B318" s="5">
        <v>45658</v>
      </c>
      <c r="C318" s="3" t="s">
        <v>16</v>
      </c>
      <c r="D318" s="3" t="s">
        <v>15</v>
      </c>
      <c r="E318" s="4">
        <f t="shared" si="12"/>
        <v>0</v>
      </c>
      <c r="F318" s="4">
        <f t="shared" si="13"/>
        <v>1</v>
      </c>
      <c r="G318" s="4">
        <f t="shared" si="14"/>
        <v>0</v>
      </c>
      <c r="H318" s="3">
        <v>76614.320000000007</v>
      </c>
      <c r="I318" s="3">
        <v>5639</v>
      </c>
      <c r="J318" s="3">
        <v>0.17399999999999999</v>
      </c>
      <c r="K318" s="3">
        <v>15</v>
      </c>
      <c r="L318" s="3">
        <v>92.9</v>
      </c>
      <c r="M318" s="3">
        <v>1.02</v>
      </c>
      <c r="N318" s="3">
        <v>1</v>
      </c>
      <c r="O318" s="3">
        <v>4</v>
      </c>
      <c r="P318" s="3">
        <v>620264.19999999995</v>
      </c>
      <c r="Q318" s="3">
        <v>91365.64</v>
      </c>
    </row>
    <row r="319" spans="1:17">
      <c r="A319" s="3" t="s">
        <v>101</v>
      </c>
      <c r="B319" s="5">
        <v>45689</v>
      </c>
      <c r="C319" s="3" t="s">
        <v>16</v>
      </c>
      <c r="D319" s="3" t="s">
        <v>15</v>
      </c>
      <c r="E319" s="4">
        <f t="shared" si="12"/>
        <v>0</v>
      </c>
      <c r="F319" s="4">
        <f t="shared" si="13"/>
        <v>1</v>
      </c>
      <c r="G319" s="4">
        <f t="shared" si="14"/>
        <v>0</v>
      </c>
      <c r="H319" s="3">
        <v>24088.06</v>
      </c>
      <c r="I319" s="3">
        <v>3466</v>
      </c>
      <c r="J319" s="3">
        <v>0</v>
      </c>
      <c r="K319" s="3">
        <v>11</v>
      </c>
      <c r="L319" s="3">
        <v>88</v>
      </c>
      <c r="M319" s="3">
        <v>0.2</v>
      </c>
      <c r="N319" s="3">
        <v>0</v>
      </c>
      <c r="O319" s="3">
        <v>3.8</v>
      </c>
      <c r="P319" s="3">
        <v>536845.42000000004</v>
      </c>
      <c r="Q319" s="3">
        <v>107473.75</v>
      </c>
    </row>
    <row r="320" spans="1:17">
      <c r="A320" s="3" t="s">
        <v>101</v>
      </c>
      <c r="B320" s="5">
        <v>45717</v>
      </c>
      <c r="C320" s="3" t="s">
        <v>16</v>
      </c>
      <c r="D320" s="3" t="s">
        <v>15</v>
      </c>
      <c r="E320" s="4">
        <f t="shared" si="12"/>
        <v>0</v>
      </c>
      <c r="F320" s="4">
        <f t="shared" si="13"/>
        <v>1</v>
      </c>
      <c r="G320" s="4">
        <f t="shared" si="14"/>
        <v>0</v>
      </c>
      <c r="H320" s="3">
        <v>81902.58</v>
      </c>
      <c r="I320" s="3">
        <v>7775</v>
      </c>
      <c r="J320" s="3">
        <v>0.215</v>
      </c>
      <c r="K320" s="3">
        <v>20</v>
      </c>
      <c r="L320" s="3">
        <v>85.2</v>
      </c>
      <c r="M320" s="3">
        <v>4.8899999999999997</v>
      </c>
      <c r="N320" s="3">
        <v>1</v>
      </c>
      <c r="O320" s="3">
        <v>4.2</v>
      </c>
      <c r="P320" s="3">
        <v>726776.22</v>
      </c>
      <c r="Q320" s="3">
        <v>90804.49</v>
      </c>
    </row>
    <row r="321" spans="1:17">
      <c r="A321" s="3" t="s">
        <v>101</v>
      </c>
      <c r="B321" s="5">
        <v>45748</v>
      </c>
      <c r="C321" s="3" t="s">
        <v>16</v>
      </c>
      <c r="D321" s="3" t="s">
        <v>15</v>
      </c>
      <c r="E321" s="4">
        <f t="shared" si="12"/>
        <v>0</v>
      </c>
      <c r="F321" s="4">
        <f t="shared" si="13"/>
        <v>1</v>
      </c>
      <c r="G321" s="4">
        <f t="shared" si="14"/>
        <v>0</v>
      </c>
      <c r="H321" s="3">
        <v>40553.11</v>
      </c>
      <c r="I321" s="3">
        <v>5317</v>
      </c>
      <c r="J321" s="3">
        <v>0.16500000000000001</v>
      </c>
      <c r="K321" s="3">
        <v>17</v>
      </c>
      <c r="L321" s="3">
        <v>84.3</v>
      </c>
      <c r="M321" s="3">
        <v>11.82</v>
      </c>
      <c r="N321" s="3">
        <v>0</v>
      </c>
      <c r="O321" s="3">
        <v>4.0999999999999996</v>
      </c>
      <c r="P321" s="3">
        <v>559660.84</v>
      </c>
      <c r="Q321" s="3">
        <v>71443.61</v>
      </c>
    </row>
  </sheetData>
  <autoFilter ref="A1:Q321" xr:uid="{DF1B8BEB-4F86-486D-9D83-00C7B5F0F1C4}"/>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02EE3E9-95B3-4D9C-A791-A12F465A5EB4}">
  <dimension ref="A1:I18"/>
  <sheetViews>
    <sheetView workbookViewId="0">
      <selection activeCell="E18" sqref="E18"/>
    </sheetView>
  </sheetViews>
  <sheetFormatPr defaultRowHeight="13.8"/>
  <cols>
    <col min="1" max="1" width="18.296875" bestFit="1" customWidth="1"/>
    <col min="2" max="2" width="11.8984375" bestFit="1" customWidth="1"/>
    <col min="3" max="3" width="13.3984375" bestFit="1" customWidth="1"/>
    <col min="4" max="5" width="12.19921875" bestFit="1" customWidth="1"/>
    <col min="6" max="6" width="13.09765625" bestFit="1" customWidth="1"/>
    <col min="7" max="7" width="11.8984375" bestFit="1" customWidth="1"/>
    <col min="8" max="9" width="12" bestFit="1" customWidth="1"/>
  </cols>
  <sheetData>
    <row r="1" spans="1:9">
      <c r="A1" t="s">
        <v>105</v>
      </c>
    </row>
    <row r="2" spans="1:9" ht="14.4" thickBot="1"/>
    <row r="3" spans="1:9" ht="14.4">
      <c r="A3" s="9" t="s">
        <v>106</v>
      </c>
      <c r="B3" s="9"/>
    </row>
    <row r="4" spans="1:9">
      <c r="A4" s="6" t="s">
        <v>107</v>
      </c>
      <c r="B4" s="6">
        <v>0.40895561021322352</v>
      </c>
    </row>
    <row r="5" spans="1:9">
      <c r="A5" s="6" t="s">
        <v>108</v>
      </c>
      <c r="B5" s="6">
        <v>0.16724469112487</v>
      </c>
    </row>
    <row r="6" spans="1:9">
      <c r="A6" s="6" t="s">
        <v>109</v>
      </c>
      <c r="B6" s="6">
        <v>0.16462596373847024</v>
      </c>
    </row>
    <row r="7" spans="1:9">
      <c r="A7" s="6" t="s">
        <v>110</v>
      </c>
      <c r="B7" s="6">
        <v>94846.03383215853</v>
      </c>
    </row>
    <row r="8" spans="1:9" ht="14.4" thickBot="1">
      <c r="A8" s="7" t="s">
        <v>111</v>
      </c>
      <c r="B8" s="7">
        <v>320</v>
      </c>
    </row>
    <row r="10" spans="1:9" ht="14.4" thickBot="1">
      <c r="A10" t="s">
        <v>112</v>
      </c>
    </row>
    <row r="11" spans="1:9" ht="14.4">
      <c r="A11" s="8"/>
      <c r="B11" s="8" t="s">
        <v>117</v>
      </c>
      <c r="C11" s="8" t="s">
        <v>118</v>
      </c>
      <c r="D11" s="8" t="s">
        <v>119</v>
      </c>
      <c r="E11" s="8" t="s">
        <v>120</v>
      </c>
      <c r="F11" s="8" t="s">
        <v>121</v>
      </c>
    </row>
    <row r="12" spans="1:9">
      <c r="A12" s="6" t="s">
        <v>113</v>
      </c>
      <c r="B12" s="6">
        <v>1</v>
      </c>
      <c r="C12" s="6">
        <v>574513714277.01416</v>
      </c>
      <c r="D12" s="6">
        <v>574513714277.01416</v>
      </c>
      <c r="E12" s="6">
        <v>63.864872683367629</v>
      </c>
      <c r="F12" s="6">
        <v>2.4800615101359619E-14</v>
      </c>
    </row>
    <row r="13" spans="1:9">
      <c r="A13" s="6" t="s">
        <v>114</v>
      </c>
      <c r="B13" s="6">
        <v>318</v>
      </c>
      <c r="C13" s="6">
        <v>2860654902513.7251</v>
      </c>
      <c r="D13" s="6">
        <v>8995770133.6909599</v>
      </c>
      <c r="E13" s="6"/>
      <c r="F13" s="6"/>
    </row>
    <row r="14" spans="1:9" ht="14.4" thickBot="1">
      <c r="A14" s="7" t="s">
        <v>115</v>
      </c>
      <c r="B14" s="7">
        <v>319</v>
      </c>
      <c r="C14" s="7">
        <v>3435168616790.7393</v>
      </c>
      <c r="D14" s="7"/>
      <c r="E14" s="7"/>
      <c r="F14" s="7"/>
    </row>
    <row r="15" spans="1:9" ht="14.4" thickBot="1"/>
    <row r="16" spans="1:9" ht="14.4">
      <c r="A16" s="8"/>
      <c r="B16" s="8" t="s">
        <v>122</v>
      </c>
      <c r="C16" s="8" t="s">
        <v>110</v>
      </c>
      <c r="D16" s="8" t="s">
        <v>123</v>
      </c>
      <c r="E16" s="8" t="s">
        <v>124</v>
      </c>
      <c r="F16" s="8" t="s">
        <v>125</v>
      </c>
      <c r="G16" s="8" t="s">
        <v>126</v>
      </c>
      <c r="H16" s="8" t="s">
        <v>127</v>
      </c>
      <c r="I16" s="8" t="s">
        <v>128</v>
      </c>
    </row>
    <row r="17" spans="1:9">
      <c r="A17" s="6" t="s">
        <v>116</v>
      </c>
      <c r="B17" s="6">
        <v>560777.34544943704</v>
      </c>
      <c r="C17" s="6">
        <v>15906.905953068674</v>
      </c>
      <c r="D17" s="6">
        <v>35.253703460870398</v>
      </c>
      <c r="E17" s="6">
        <v>6.952876876284135E-112</v>
      </c>
      <c r="F17" s="6">
        <v>529481.27234763221</v>
      </c>
      <c r="G17" s="6">
        <v>592073.41855124186</v>
      </c>
      <c r="H17" s="6">
        <v>529481.27234763221</v>
      </c>
      <c r="I17" s="6">
        <v>592073.41855124186</v>
      </c>
    </row>
    <row r="18" spans="1:9" ht="14.4" thickBot="1">
      <c r="A18" s="7" t="s">
        <v>4</v>
      </c>
      <c r="B18" s="7">
        <v>2.1295753275898281</v>
      </c>
      <c r="C18" s="7">
        <v>0.26647838106932348</v>
      </c>
      <c r="D18" s="7">
        <v>7.991550080138869</v>
      </c>
      <c r="E18" s="7">
        <v>2.4800615101360068E-14</v>
      </c>
      <c r="F18" s="7">
        <v>1.6052919176921738</v>
      </c>
      <c r="G18" s="7">
        <v>2.6538587374874822</v>
      </c>
      <c r="H18" s="7">
        <v>1.6052919176921738</v>
      </c>
      <c r="I18" s="7">
        <v>2.6538587374874822</v>
      </c>
    </row>
  </sheetData>
  <pageMargins left="0.7" right="0.7" top="0.75" bottom="0.75" header="0.3" footer="0.3"/>
  <pageSetup orientation="portrait"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A9DD083-9367-4217-82E8-5644C36C4900}">
  <dimension ref="A1:I18"/>
  <sheetViews>
    <sheetView workbookViewId="0">
      <selection activeCell="D22" sqref="D22"/>
    </sheetView>
  </sheetViews>
  <sheetFormatPr defaultRowHeight="13.8"/>
  <cols>
    <col min="1" max="1" width="18.296875" bestFit="1" customWidth="1"/>
    <col min="2" max="2" width="11.8984375" bestFit="1" customWidth="1"/>
    <col min="3" max="3" width="13.3984375" bestFit="1" customWidth="1"/>
    <col min="4" max="5" width="12.19921875" bestFit="1" customWidth="1"/>
    <col min="6" max="6" width="13.09765625" bestFit="1" customWidth="1"/>
    <col min="7" max="7" width="11.8984375" bestFit="1" customWidth="1"/>
    <col min="8" max="9" width="12" bestFit="1" customWidth="1"/>
  </cols>
  <sheetData>
    <row r="1" spans="1:9">
      <c r="A1" t="s">
        <v>105</v>
      </c>
    </row>
    <row r="2" spans="1:9" ht="14.4" thickBot="1"/>
    <row r="3" spans="1:9" ht="14.4">
      <c r="A3" s="9" t="s">
        <v>106</v>
      </c>
      <c r="B3" s="9"/>
    </row>
    <row r="4" spans="1:9">
      <c r="A4" s="6" t="s">
        <v>107</v>
      </c>
      <c r="B4" s="6">
        <v>0.85807070804410468</v>
      </c>
    </row>
    <row r="5" spans="1:9">
      <c r="A5" s="6" t="s">
        <v>108</v>
      </c>
      <c r="B5" s="6">
        <v>0.73628534000331114</v>
      </c>
    </row>
    <row r="6" spans="1:9">
      <c r="A6" s="6" t="s">
        <v>109</v>
      </c>
      <c r="B6" s="6">
        <v>0.73545604861967373</v>
      </c>
    </row>
    <row r="7" spans="1:9">
      <c r="A7" s="6" t="s">
        <v>110</v>
      </c>
      <c r="B7" s="6">
        <v>53373.736380790499</v>
      </c>
    </row>
    <row r="8" spans="1:9" ht="14.4" thickBot="1">
      <c r="A8" s="7" t="s">
        <v>111</v>
      </c>
      <c r="B8" s="7">
        <v>320</v>
      </c>
    </row>
    <row r="10" spans="1:9" ht="14.4" thickBot="1">
      <c r="A10" t="s">
        <v>112</v>
      </c>
    </row>
    <row r="11" spans="1:9" ht="14.4">
      <c r="A11" s="8"/>
      <c r="B11" s="8" t="s">
        <v>117</v>
      </c>
      <c r="C11" s="8" t="s">
        <v>118</v>
      </c>
      <c r="D11" s="8" t="s">
        <v>119</v>
      </c>
      <c r="E11" s="8" t="s">
        <v>120</v>
      </c>
      <c r="F11" s="8" t="s">
        <v>121</v>
      </c>
    </row>
    <row r="12" spans="1:9">
      <c r="A12" s="6" t="s">
        <v>113</v>
      </c>
      <c r="B12" s="6">
        <v>1</v>
      </c>
      <c r="C12" s="6">
        <v>2529264292982.4736</v>
      </c>
      <c r="D12" s="6">
        <v>2529264292982.4736</v>
      </c>
      <c r="E12" s="6">
        <v>887.84877611276033</v>
      </c>
      <c r="F12" s="6">
        <v>4.7503615090053331E-94</v>
      </c>
    </row>
    <row r="13" spans="1:9">
      <c r="A13" s="6" t="s">
        <v>114</v>
      </c>
      <c r="B13" s="6">
        <v>318</v>
      </c>
      <c r="C13" s="6">
        <v>905904323808.26587</v>
      </c>
      <c r="D13" s="6">
        <v>2848755735.246119</v>
      </c>
      <c r="E13" s="6"/>
      <c r="F13" s="6"/>
    </row>
    <row r="14" spans="1:9" ht="14.4" thickBot="1">
      <c r="A14" s="7" t="s">
        <v>115</v>
      </c>
      <c r="B14" s="7">
        <v>319</v>
      </c>
      <c r="C14" s="7">
        <v>3435168616790.7393</v>
      </c>
      <c r="D14" s="7"/>
      <c r="E14" s="7"/>
      <c r="F14" s="7"/>
    </row>
    <row r="15" spans="1:9" ht="14.4" thickBot="1"/>
    <row r="16" spans="1:9" ht="14.4">
      <c r="A16" s="8"/>
      <c r="B16" s="8" t="s">
        <v>122</v>
      </c>
      <c r="C16" s="8" t="s">
        <v>110</v>
      </c>
      <c r="D16" s="8" t="s">
        <v>123</v>
      </c>
      <c r="E16" s="8" t="s">
        <v>124</v>
      </c>
      <c r="F16" s="8" t="s">
        <v>125</v>
      </c>
      <c r="G16" s="8" t="s">
        <v>126</v>
      </c>
      <c r="H16" s="8" t="s">
        <v>127</v>
      </c>
      <c r="I16" s="8" t="s">
        <v>128</v>
      </c>
    </row>
    <row r="17" spans="1:9">
      <c r="A17" s="6" t="s">
        <v>116</v>
      </c>
      <c r="B17" s="6">
        <v>446410.58293395344</v>
      </c>
      <c r="C17" s="6">
        <v>8407.7382630059928</v>
      </c>
      <c r="D17" s="6">
        <v>53.095204556754318</v>
      </c>
      <c r="E17" s="6">
        <v>4.0862695711507226E-160</v>
      </c>
      <c r="F17" s="6">
        <v>429868.76191129786</v>
      </c>
      <c r="G17" s="6">
        <v>462952.40395660902</v>
      </c>
      <c r="H17" s="6">
        <v>429868.76191129786</v>
      </c>
      <c r="I17" s="6">
        <v>462952.40395660902</v>
      </c>
    </row>
    <row r="18" spans="1:9" ht="14.4" thickBot="1">
      <c r="A18" s="7" t="s">
        <v>5</v>
      </c>
      <c r="B18" s="7">
        <v>35.678031072640458</v>
      </c>
      <c r="C18" s="7">
        <v>1.1973782890340821</v>
      </c>
      <c r="D18" s="7">
        <v>29.796791372776362</v>
      </c>
      <c r="E18" s="7">
        <v>4.7503615090054677E-94</v>
      </c>
      <c r="F18" s="7">
        <v>33.322246825554025</v>
      </c>
      <c r="G18" s="7">
        <v>38.033815319726891</v>
      </c>
      <c r="H18" s="7">
        <v>33.322246825554025</v>
      </c>
      <c r="I18" s="7">
        <v>38.033815319726891</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75B4906-1295-4368-8576-414A26862BBC}">
  <dimension ref="A1:I18"/>
  <sheetViews>
    <sheetView workbookViewId="0">
      <selection activeCell="D26" sqref="D26"/>
    </sheetView>
  </sheetViews>
  <sheetFormatPr defaultRowHeight="13.8"/>
  <cols>
    <col min="1" max="1" width="18.296875" bestFit="1" customWidth="1"/>
    <col min="2" max="2" width="12.5" bestFit="1" customWidth="1"/>
    <col min="3" max="3" width="13.3984375" bestFit="1" customWidth="1"/>
    <col min="4" max="4" width="12.5" bestFit="1" customWidth="1"/>
    <col min="5" max="5" width="12.19921875" bestFit="1" customWidth="1"/>
    <col min="6" max="6" width="13.09765625" bestFit="1" customWidth="1"/>
    <col min="7" max="7" width="11.8984375" bestFit="1" customWidth="1"/>
    <col min="8" max="9" width="12" bestFit="1" customWidth="1"/>
  </cols>
  <sheetData>
    <row r="1" spans="1:9">
      <c r="A1" t="s">
        <v>105</v>
      </c>
    </row>
    <row r="2" spans="1:9" ht="14.4" thickBot="1"/>
    <row r="3" spans="1:9" ht="14.4">
      <c r="A3" s="9" t="s">
        <v>106</v>
      </c>
      <c r="B3" s="9"/>
    </row>
    <row r="4" spans="1:9">
      <c r="A4" s="6" t="s">
        <v>107</v>
      </c>
      <c r="B4" s="6">
        <v>9.1052199448449889E-2</v>
      </c>
    </row>
    <row r="5" spans="1:9">
      <c r="A5" s="6" t="s">
        <v>108</v>
      </c>
      <c r="B5" s="6">
        <v>8.2905030244002989E-3</v>
      </c>
    </row>
    <row r="6" spans="1:9">
      <c r="A6" s="6" t="s">
        <v>109</v>
      </c>
      <c r="B6" s="6">
        <v>5.171919700577658E-3</v>
      </c>
    </row>
    <row r="7" spans="1:9">
      <c r="A7" s="6" t="s">
        <v>110</v>
      </c>
      <c r="B7" s="6">
        <v>103502.94470614102</v>
      </c>
    </row>
    <row r="8" spans="1:9" ht="14.4" thickBot="1">
      <c r="A8" s="7" t="s">
        <v>111</v>
      </c>
      <c r="B8" s="7">
        <v>320</v>
      </c>
    </row>
    <row r="10" spans="1:9" ht="14.4" thickBot="1">
      <c r="A10" t="s">
        <v>112</v>
      </c>
    </row>
    <row r="11" spans="1:9" ht="14.4">
      <c r="A11" s="8"/>
      <c r="B11" s="8" t="s">
        <v>117</v>
      </c>
      <c r="C11" s="8" t="s">
        <v>118</v>
      </c>
      <c r="D11" s="8" t="s">
        <v>119</v>
      </c>
      <c r="E11" s="8" t="s">
        <v>120</v>
      </c>
      <c r="F11" s="8" t="s">
        <v>121</v>
      </c>
    </row>
    <row r="12" spans="1:9">
      <c r="A12" s="6" t="s">
        <v>113</v>
      </c>
      <c r="B12" s="6">
        <v>1</v>
      </c>
      <c r="C12" s="6">
        <v>28479275806.828613</v>
      </c>
      <c r="D12" s="6">
        <v>28479275806.828613</v>
      </c>
      <c r="E12" s="6">
        <v>2.658419597472264</v>
      </c>
      <c r="F12" s="6">
        <v>0.10399304641903476</v>
      </c>
    </row>
    <row r="13" spans="1:9">
      <c r="A13" s="6" t="s">
        <v>114</v>
      </c>
      <c r="B13" s="6">
        <v>318</v>
      </c>
      <c r="C13" s="6">
        <v>3406689340983.9106</v>
      </c>
      <c r="D13" s="6">
        <v>10712859562.842485</v>
      </c>
      <c r="E13" s="6"/>
      <c r="F13" s="6"/>
    </row>
    <row r="14" spans="1:9" ht="14.4" thickBot="1">
      <c r="A14" s="7" t="s">
        <v>115</v>
      </c>
      <c r="B14" s="7">
        <v>319</v>
      </c>
      <c r="C14" s="7">
        <v>3435168616790.7393</v>
      </c>
      <c r="D14" s="7"/>
      <c r="E14" s="7"/>
      <c r="F14" s="7"/>
    </row>
    <row r="15" spans="1:9" ht="14.4" thickBot="1"/>
    <row r="16" spans="1:9" ht="14.4">
      <c r="A16" s="8"/>
      <c r="B16" s="8" t="s">
        <v>122</v>
      </c>
      <c r="C16" s="8" t="s">
        <v>110</v>
      </c>
      <c r="D16" s="8" t="s">
        <v>123</v>
      </c>
      <c r="E16" s="8" t="s">
        <v>124</v>
      </c>
      <c r="F16" s="8" t="s">
        <v>125</v>
      </c>
      <c r="G16" s="8" t="s">
        <v>126</v>
      </c>
      <c r="H16" s="8" t="s">
        <v>127</v>
      </c>
      <c r="I16" s="8" t="s">
        <v>128</v>
      </c>
    </row>
    <row r="17" spans="1:9">
      <c r="A17" s="6" t="s">
        <v>116</v>
      </c>
      <c r="B17" s="6">
        <v>697835.62958654074</v>
      </c>
      <c r="C17" s="6">
        <v>12035.418765239492</v>
      </c>
      <c r="D17" s="6">
        <v>57.981832057395351</v>
      </c>
      <c r="E17" s="6">
        <v>3.8725943752004609E-171</v>
      </c>
      <c r="F17" s="6">
        <v>674156.52149354888</v>
      </c>
      <c r="G17" s="6">
        <v>721514.73767953261</v>
      </c>
      <c r="H17" s="6">
        <v>674156.52149354888</v>
      </c>
      <c r="I17" s="6">
        <v>721514.73767953261</v>
      </c>
    </row>
    <row r="18" spans="1:9" ht="14.4" thickBot="1">
      <c r="A18" s="7" t="s">
        <v>6</v>
      </c>
      <c r="B18" s="7">
        <v>-138730.45471638071</v>
      </c>
      <c r="C18" s="7">
        <v>85086.379579668472</v>
      </c>
      <c r="D18" s="7">
        <v>-1.6304660675623643</v>
      </c>
      <c r="E18" s="7">
        <v>0.10399304641903374</v>
      </c>
      <c r="F18" s="7">
        <v>-306133.81795682968</v>
      </c>
      <c r="G18" s="7">
        <v>28672.908524068218</v>
      </c>
      <c r="H18" s="7">
        <v>-306133.81795682968</v>
      </c>
      <c r="I18" s="7">
        <v>28672.908524068218</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2703B63-3E65-452F-A660-9DD26D90E54F}">
  <dimension ref="A1:I18"/>
  <sheetViews>
    <sheetView workbookViewId="0">
      <selection activeCell="F22" sqref="F22"/>
    </sheetView>
  </sheetViews>
  <sheetFormatPr defaultRowHeight="13.8"/>
  <cols>
    <col min="1" max="1" width="21.19921875" bestFit="1" customWidth="1"/>
    <col min="2" max="2" width="11.8984375" bestFit="1" customWidth="1"/>
    <col min="3" max="3" width="13.3984375" bestFit="1" customWidth="1"/>
    <col min="4" max="4" width="11.8984375" bestFit="1" customWidth="1"/>
    <col min="5" max="5" width="12.19921875" bestFit="1" customWidth="1"/>
    <col min="6" max="6" width="13.09765625" bestFit="1" customWidth="1"/>
    <col min="7" max="7" width="11.8984375" bestFit="1" customWidth="1"/>
    <col min="8" max="9" width="12" bestFit="1" customWidth="1"/>
  </cols>
  <sheetData>
    <row r="1" spans="1:9">
      <c r="A1" t="s">
        <v>105</v>
      </c>
    </row>
    <row r="2" spans="1:9" ht="14.4" thickBot="1"/>
    <row r="3" spans="1:9" ht="14.4">
      <c r="A3" s="9" t="s">
        <v>106</v>
      </c>
      <c r="B3" s="9"/>
    </row>
    <row r="4" spans="1:9">
      <c r="A4" s="6" t="s">
        <v>107</v>
      </c>
      <c r="B4" s="6">
        <v>0.11452081018053405</v>
      </c>
    </row>
    <row r="5" spans="1:9">
      <c r="A5" s="6" t="s">
        <v>108</v>
      </c>
      <c r="B5" s="6">
        <v>1.3115015964405912E-2</v>
      </c>
    </row>
    <row r="6" spans="1:9">
      <c r="A6" s="6" t="s">
        <v>109</v>
      </c>
      <c r="B6" s="6">
        <v>1.0011604064922909E-2</v>
      </c>
    </row>
    <row r="7" spans="1:9">
      <c r="A7" s="6" t="s">
        <v>110</v>
      </c>
      <c r="B7" s="6">
        <v>103250.87487318904</v>
      </c>
    </row>
    <row r="8" spans="1:9" ht="14.4" thickBot="1">
      <c r="A8" s="7" t="s">
        <v>111</v>
      </c>
      <c r="B8" s="7">
        <v>320</v>
      </c>
    </row>
    <row r="10" spans="1:9" ht="14.4" thickBot="1">
      <c r="A10" t="s">
        <v>112</v>
      </c>
    </row>
    <row r="11" spans="1:9" ht="14.4">
      <c r="A11" s="8"/>
      <c r="B11" s="8" t="s">
        <v>117</v>
      </c>
      <c r="C11" s="8" t="s">
        <v>118</v>
      </c>
      <c r="D11" s="8" t="s">
        <v>119</v>
      </c>
      <c r="E11" s="8" t="s">
        <v>120</v>
      </c>
      <c r="F11" s="8" t="s">
        <v>121</v>
      </c>
    </row>
    <row r="12" spans="1:9">
      <c r="A12" s="6" t="s">
        <v>113</v>
      </c>
      <c r="B12" s="6">
        <v>1</v>
      </c>
      <c r="C12" s="6">
        <v>45052291249.636719</v>
      </c>
      <c r="D12" s="6">
        <v>45052291249.636719</v>
      </c>
      <c r="E12" s="6">
        <v>4.2259991226400695</v>
      </c>
      <c r="F12" s="6">
        <v>4.0625296630152581E-2</v>
      </c>
    </row>
    <row r="13" spans="1:9">
      <c r="A13" s="6" t="s">
        <v>114</v>
      </c>
      <c r="B13" s="6">
        <v>318</v>
      </c>
      <c r="C13" s="6">
        <v>3390116325541.1025</v>
      </c>
      <c r="D13" s="6">
        <v>10660743162.078939</v>
      </c>
      <c r="E13" s="6"/>
      <c r="F13" s="6"/>
    </row>
    <row r="14" spans="1:9" ht="14.4" thickBot="1">
      <c r="A14" s="7" t="s">
        <v>115</v>
      </c>
      <c r="B14" s="7">
        <v>319</v>
      </c>
      <c r="C14" s="7">
        <v>3435168616790.7393</v>
      </c>
      <c r="D14" s="7"/>
      <c r="E14" s="7"/>
      <c r="F14" s="7"/>
    </row>
    <row r="15" spans="1:9" ht="14.4" thickBot="1"/>
    <row r="16" spans="1:9" ht="14.4">
      <c r="A16" s="8"/>
      <c r="B16" s="8" t="s">
        <v>122</v>
      </c>
      <c r="C16" s="8" t="s">
        <v>110</v>
      </c>
      <c r="D16" s="8" t="s">
        <v>123</v>
      </c>
      <c r="E16" s="8" t="s">
        <v>124</v>
      </c>
      <c r="F16" s="8" t="s">
        <v>125</v>
      </c>
      <c r="G16" s="8" t="s">
        <v>126</v>
      </c>
      <c r="H16" s="8" t="s">
        <v>127</v>
      </c>
      <c r="I16" s="8" t="s">
        <v>128</v>
      </c>
    </row>
    <row r="17" spans="1:9">
      <c r="A17" s="6" t="s">
        <v>116</v>
      </c>
      <c r="B17" s="6">
        <v>484814.25658676017</v>
      </c>
      <c r="C17" s="6">
        <v>95428.021317590741</v>
      </c>
      <c r="D17" s="6">
        <v>5.0804182030901215</v>
      </c>
      <c r="E17" s="6">
        <v>6.4331365016162449E-7</v>
      </c>
      <c r="F17" s="6">
        <v>297064.21016495663</v>
      </c>
      <c r="G17" s="6">
        <v>672564.3030085637</v>
      </c>
      <c r="H17" s="6">
        <v>297064.21016495663</v>
      </c>
      <c r="I17" s="6">
        <v>672564.3030085637</v>
      </c>
    </row>
    <row r="18" spans="1:9" ht="14.4" thickBot="1">
      <c r="A18" s="7" t="s">
        <v>8</v>
      </c>
      <c r="B18" s="7">
        <v>2217.8319409989194</v>
      </c>
      <c r="C18" s="7">
        <v>1078.8571212403435</v>
      </c>
      <c r="D18" s="7">
        <v>2.0557235034506851</v>
      </c>
      <c r="E18" s="7">
        <v>4.0625296630164572E-2</v>
      </c>
      <c r="F18" s="7">
        <v>95.232396351023908</v>
      </c>
      <c r="G18" s="7">
        <v>4340.4314856468154</v>
      </c>
      <c r="H18" s="7">
        <v>95.232396351023908</v>
      </c>
      <c r="I18" s="7">
        <v>4340.4314856468154</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9D16B2A-B8E7-4B3A-85A6-DB86C734D9F4}">
  <dimension ref="A1:I18"/>
  <sheetViews>
    <sheetView workbookViewId="0">
      <selection activeCell="G28" sqref="G28"/>
    </sheetView>
  </sheetViews>
  <sheetFormatPr defaultRowHeight="13.8"/>
  <cols>
    <col min="1" max="1" width="18.296875" bestFit="1" customWidth="1"/>
    <col min="2" max="2" width="11.8984375" bestFit="1" customWidth="1"/>
    <col min="3" max="3" width="13.3984375" bestFit="1" customWidth="1"/>
    <col min="4" max="4" width="11.8984375" bestFit="1" customWidth="1"/>
    <col min="5" max="5" width="12.19921875" bestFit="1" customWidth="1"/>
    <col min="6" max="6" width="13.09765625" bestFit="1" customWidth="1"/>
    <col min="7" max="7" width="11.8984375" bestFit="1" customWidth="1"/>
    <col min="8" max="8" width="12.5" bestFit="1" customWidth="1"/>
    <col min="9" max="9" width="12" bestFit="1" customWidth="1"/>
  </cols>
  <sheetData>
    <row r="1" spans="1:9">
      <c r="A1" t="s">
        <v>105</v>
      </c>
    </row>
    <row r="2" spans="1:9" ht="14.4" thickBot="1"/>
    <row r="3" spans="1:9" ht="14.4">
      <c r="A3" s="9" t="s">
        <v>106</v>
      </c>
      <c r="B3" s="9"/>
    </row>
    <row r="4" spans="1:9">
      <c r="A4" s="6" t="s">
        <v>107</v>
      </c>
      <c r="B4" s="6">
        <v>6.5137449041966042E-2</v>
      </c>
    </row>
    <row r="5" spans="1:9">
      <c r="A5" s="6" t="s">
        <v>108</v>
      </c>
      <c r="B5" s="6">
        <v>4.2428872676947222E-3</v>
      </c>
    </row>
    <row r="6" spans="1:9">
      <c r="A6" s="6" t="s">
        <v>109</v>
      </c>
      <c r="B6" s="6">
        <v>1.1115755924359003E-3</v>
      </c>
    </row>
    <row r="7" spans="1:9">
      <c r="A7" s="6" t="s">
        <v>110</v>
      </c>
      <c r="B7" s="6">
        <v>103713.95082745395</v>
      </c>
    </row>
    <row r="8" spans="1:9" ht="14.4" thickBot="1">
      <c r="A8" s="7" t="s">
        <v>111</v>
      </c>
      <c r="B8" s="7">
        <v>320</v>
      </c>
    </row>
    <row r="10" spans="1:9" ht="14.4" thickBot="1">
      <c r="A10" t="s">
        <v>112</v>
      </c>
    </row>
    <row r="11" spans="1:9" ht="14.4">
      <c r="A11" s="8"/>
      <c r="B11" s="8" t="s">
        <v>117</v>
      </c>
      <c r="C11" s="8" t="s">
        <v>118</v>
      </c>
      <c r="D11" s="8" t="s">
        <v>119</v>
      </c>
      <c r="E11" s="8" t="s">
        <v>120</v>
      </c>
      <c r="F11" s="8" t="s">
        <v>121</v>
      </c>
    </row>
    <row r="12" spans="1:9">
      <c r="A12" s="6" t="s">
        <v>113</v>
      </c>
      <c r="B12" s="6">
        <v>1</v>
      </c>
      <c r="C12" s="6">
        <v>14575033186.565918</v>
      </c>
      <c r="D12" s="6">
        <v>14575033186.565918</v>
      </c>
      <c r="E12" s="6">
        <v>1.3549872091043196</v>
      </c>
      <c r="F12" s="6">
        <v>0.2452807257946128</v>
      </c>
    </row>
    <row r="13" spans="1:9">
      <c r="A13" s="6" t="s">
        <v>114</v>
      </c>
      <c r="B13" s="6">
        <v>318</v>
      </c>
      <c r="C13" s="6">
        <v>3420593583604.1733</v>
      </c>
      <c r="D13" s="6">
        <v>10756583596.239538</v>
      </c>
      <c r="E13" s="6"/>
      <c r="F13" s="6"/>
    </row>
    <row r="14" spans="1:9" ht="14.4" thickBot="1">
      <c r="A14" s="7" t="s">
        <v>115</v>
      </c>
      <c r="B14" s="7">
        <v>319</v>
      </c>
      <c r="C14" s="7">
        <v>3435168616790.7393</v>
      </c>
      <c r="D14" s="7"/>
      <c r="E14" s="7"/>
      <c r="F14" s="7"/>
    </row>
    <row r="15" spans="1:9" ht="14.4" thickBot="1"/>
    <row r="16" spans="1:9" ht="14.4">
      <c r="A16" s="8"/>
      <c r="B16" s="8" t="s">
        <v>122</v>
      </c>
      <c r="C16" s="8" t="s">
        <v>110</v>
      </c>
      <c r="D16" s="8" t="s">
        <v>123</v>
      </c>
      <c r="E16" s="8" t="s">
        <v>124</v>
      </c>
      <c r="F16" s="8" t="s">
        <v>125</v>
      </c>
      <c r="G16" s="8" t="s">
        <v>126</v>
      </c>
      <c r="H16" s="8" t="s">
        <v>127</v>
      </c>
      <c r="I16" s="8" t="s">
        <v>128</v>
      </c>
    </row>
    <row r="17" spans="1:9">
      <c r="A17" s="6" t="s">
        <v>116</v>
      </c>
      <c r="B17" s="6">
        <v>648445.21060523833</v>
      </c>
      <c r="C17" s="6">
        <v>28249.485858282591</v>
      </c>
      <c r="D17" s="6">
        <v>22.954230525052825</v>
      </c>
      <c r="E17" s="6">
        <v>1.8890628255368445E-69</v>
      </c>
      <c r="F17" s="6">
        <v>592865.70462729188</v>
      </c>
      <c r="G17" s="6">
        <v>704024.71658318478</v>
      </c>
      <c r="H17" s="6">
        <v>592865.70462729188</v>
      </c>
      <c r="I17" s="6">
        <v>704024.71658318478</v>
      </c>
    </row>
    <row r="18" spans="1:9" ht="14.4" thickBot="1">
      <c r="A18" s="7" t="s">
        <v>11</v>
      </c>
      <c r="B18" s="7">
        <v>8410.5531452214145</v>
      </c>
      <c r="C18" s="7">
        <v>7225.317927867357</v>
      </c>
      <c r="D18" s="7">
        <v>1.1640391785090478</v>
      </c>
      <c r="E18" s="7">
        <v>0.24528072579466514</v>
      </c>
      <c r="F18" s="7">
        <v>-5804.9126858753552</v>
      </c>
      <c r="G18" s="7">
        <v>22626.018976318184</v>
      </c>
      <c r="H18" s="7">
        <v>-5804.9126858753552</v>
      </c>
      <c r="I18" s="7">
        <v>22626.018976318184</v>
      </c>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3B6213D-6ABE-41A0-B534-5832146122B3}">
  <dimension ref="A1:E15"/>
  <sheetViews>
    <sheetView tabSelected="1" zoomScaleNormal="85" workbookViewId="0">
      <selection activeCell="B7" sqref="B7"/>
    </sheetView>
  </sheetViews>
  <sheetFormatPr defaultRowHeight="13.8"/>
  <cols>
    <col min="1" max="1" width="29.796875" customWidth="1"/>
    <col min="2" max="2" width="28.59765625" customWidth="1"/>
    <col min="3" max="3" width="27.09765625" customWidth="1"/>
    <col min="4" max="4" width="21" customWidth="1"/>
    <col min="5" max="5" width="26.69921875" customWidth="1"/>
  </cols>
  <sheetData>
    <row r="1" spans="1:5" ht="15.6">
      <c r="A1" s="17"/>
      <c r="B1" s="18" t="s">
        <v>131</v>
      </c>
      <c r="C1" s="18" t="s">
        <v>130</v>
      </c>
      <c r="D1" s="18" t="s">
        <v>129</v>
      </c>
      <c r="E1" s="18" t="s">
        <v>124</v>
      </c>
    </row>
    <row r="2" spans="1:5" ht="15.6">
      <c r="A2" s="15" t="s">
        <v>4</v>
      </c>
      <c r="B2" s="15">
        <f>SRegression1!B17</f>
        <v>560777.34544943704</v>
      </c>
      <c r="C2" s="14">
        <f>SRegression1!B5</f>
        <v>0.16724469112487</v>
      </c>
      <c r="D2" s="14">
        <f>SRegression1!B18</f>
        <v>2.1295753275898281</v>
      </c>
      <c r="E2" s="16">
        <f>SRegression1!E18</f>
        <v>2.4800615101360068E-14</v>
      </c>
    </row>
    <row r="3" spans="1:5" ht="15.6">
      <c r="A3" s="15" t="s">
        <v>5</v>
      </c>
      <c r="B3" s="15">
        <f>SRegression2!B17</f>
        <v>446410.58293395344</v>
      </c>
      <c r="C3" s="14">
        <f>SRegression2!B5</f>
        <v>0.73628534000331114</v>
      </c>
      <c r="D3" s="14">
        <f>SRegression2!B18</f>
        <v>35.678031072640458</v>
      </c>
      <c r="E3" s="16">
        <f>SRegression2!E18</f>
        <v>4.7503615090054677E-94</v>
      </c>
    </row>
    <row r="4" spans="1:5" ht="15.6">
      <c r="A4" s="15" t="s">
        <v>6</v>
      </c>
      <c r="B4" s="15">
        <f>SRegression3!B17</f>
        <v>697835.62958654074</v>
      </c>
      <c r="C4" s="14">
        <f>SRegression3!B5</f>
        <v>8.2905030244002989E-3</v>
      </c>
      <c r="D4" s="14">
        <f>SRegression3!B18</f>
        <v>-138730.45471638071</v>
      </c>
      <c r="E4" s="16">
        <f>SRegression3!E18</f>
        <v>0.10399304641903374</v>
      </c>
    </row>
    <row r="5" spans="1:5" ht="15.6">
      <c r="A5" s="15" t="s">
        <v>8</v>
      </c>
      <c r="B5" s="14">
        <f>SRegression4!B17</f>
        <v>484814.25658676017</v>
      </c>
      <c r="C5" s="14">
        <f>SRegression4!B5</f>
        <v>1.3115015964405912E-2</v>
      </c>
      <c r="D5" s="14">
        <f>SRegression4!B18</f>
        <v>2217.8319409989194</v>
      </c>
      <c r="E5" s="16">
        <f>SRegression4!E18</f>
        <v>4.0625296630164572E-2</v>
      </c>
    </row>
    <row r="6" spans="1:5" ht="15.6">
      <c r="A6" s="15" t="s">
        <v>11</v>
      </c>
      <c r="B6" s="14">
        <f>SRegression5!B17</f>
        <v>648445.21060523833</v>
      </c>
      <c r="C6" s="14">
        <f>SRegression5!B5</f>
        <v>4.2428872676947222E-3</v>
      </c>
      <c r="D6" s="14">
        <f>SRegression5!B18</f>
        <v>8410.5531452214145</v>
      </c>
      <c r="E6" s="16">
        <f>SRegression5!E18</f>
        <v>0.24528072579466514</v>
      </c>
    </row>
    <row r="10" spans="1:5" ht="27.6">
      <c r="A10" s="11" t="s">
        <v>132</v>
      </c>
      <c r="B10" s="11" t="s">
        <v>133</v>
      </c>
      <c r="C10" s="11" t="s">
        <v>134</v>
      </c>
    </row>
    <row r="11" spans="1:5" ht="151.80000000000001">
      <c r="A11" s="13" t="s">
        <v>4</v>
      </c>
      <c r="B11" s="12" t="s">
        <v>135</v>
      </c>
      <c r="C11" s="13" t="s">
        <v>136</v>
      </c>
    </row>
    <row r="12" spans="1:5" ht="138">
      <c r="A12" s="13" t="s">
        <v>5</v>
      </c>
      <c r="B12" s="12" t="s">
        <v>137</v>
      </c>
      <c r="C12" s="13" t="s">
        <v>138</v>
      </c>
    </row>
    <row r="13" spans="1:5" ht="110.4">
      <c r="A13" s="13" t="s">
        <v>6</v>
      </c>
      <c r="B13" s="12" t="s">
        <v>139</v>
      </c>
      <c r="C13" s="13" t="s">
        <v>140</v>
      </c>
    </row>
    <row r="14" spans="1:5" ht="124.2">
      <c r="A14" s="13" t="s">
        <v>8</v>
      </c>
      <c r="B14" s="12" t="s">
        <v>141</v>
      </c>
      <c r="C14" s="13" t="s">
        <v>142</v>
      </c>
    </row>
    <row r="15" spans="1:5" ht="82.8">
      <c r="A15" s="13" t="s">
        <v>11</v>
      </c>
      <c r="B15" s="12" t="s">
        <v>143</v>
      </c>
      <c r="C15" s="13" t="s">
        <v>144</v>
      </c>
    </row>
  </sheetData>
  <pageMargins left="0.7" right="0.7" top="0.75" bottom="0.75" header="0.3" footer="0.3"/>
  <pageSetup orientation="portrait"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0A2F8F3-29C4-440F-9CE9-8C63CEAA90D8}">
  <dimension ref="A1:I347"/>
  <sheetViews>
    <sheetView topLeftCell="A13" workbookViewId="0">
      <selection activeCell="B25" sqref="B25"/>
    </sheetView>
  </sheetViews>
  <sheetFormatPr defaultRowHeight="13.8"/>
  <cols>
    <col min="1" max="1" width="18.296875" bestFit="1" customWidth="1"/>
    <col min="2" max="2" width="21.69921875" bestFit="1" customWidth="1"/>
    <col min="3" max="3" width="13.3984375" bestFit="1" customWidth="1"/>
    <col min="4" max="4" width="17.59765625" bestFit="1" customWidth="1"/>
    <col min="5" max="5" width="12.19921875" bestFit="1" customWidth="1"/>
    <col min="6" max="6" width="13.09765625" bestFit="1" customWidth="1"/>
    <col min="7" max="9" width="12.5" bestFit="1" customWidth="1"/>
  </cols>
  <sheetData>
    <row r="1" spans="1:9">
      <c r="A1" t="s">
        <v>105</v>
      </c>
    </row>
    <row r="2" spans="1:9" ht="14.4" thickBot="1"/>
    <row r="3" spans="1:9" ht="14.4">
      <c r="A3" s="9" t="s">
        <v>106</v>
      </c>
      <c r="B3" s="9"/>
    </row>
    <row r="4" spans="1:9">
      <c r="A4" s="6" t="s">
        <v>107</v>
      </c>
      <c r="B4" s="6">
        <v>0.88731042983239583</v>
      </c>
    </row>
    <row r="5" spans="1:9">
      <c r="A5" s="6" t="s">
        <v>108</v>
      </c>
      <c r="B5" s="6">
        <v>0.78731979888935111</v>
      </c>
    </row>
    <row r="6" spans="1:9">
      <c r="A6" s="6" t="s">
        <v>109</v>
      </c>
      <c r="B6" s="6">
        <v>0.78461909792286666</v>
      </c>
    </row>
    <row r="7" spans="1:9">
      <c r="A7" s="6" t="s">
        <v>110</v>
      </c>
      <c r="B7" s="6">
        <v>48159.534890309449</v>
      </c>
    </row>
    <row r="8" spans="1:9" ht="14.4" thickBot="1">
      <c r="A8" s="7" t="s">
        <v>111</v>
      </c>
      <c r="B8" s="7">
        <v>320</v>
      </c>
    </row>
    <row r="10" spans="1:9" ht="14.4" thickBot="1">
      <c r="A10" t="s">
        <v>112</v>
      </c>
    </row>
    <row r="11" spans="1:9" ht="14.4">
      <c r="A11" s="8"/>
      <c r="B11" s="8" t="s">
        <v>117</v>
      </c>
      <c r="C11" s="8" t="s">
        <v>118</v>
      </c>
      <c r="D11" s="8" t="s">
        <v>119</v>
      </c>
      <c r="E11" s="8" t="s">
        <v>120</v>
      </c>
      <c r="F11" s="8" t="s">
        <v>121</v>
      </c>
    </row>
    <row r="12" spans="1:9">
      <c r="A12" s="6" t="s">
        <v>113</v>
      </c>
      <c r="B12" s="6">
        <v>4</v>
      </c>
      <c r="C12" s="6">
        <v>2704576264522.6953</v>
      </c>
      <c r="D12" s="6">
        <v>676144066130.67383</v>
      </c>
      <c r="E12" s="6">
        <v>291.52424080264797</v>
      </c>
      <c r="F12" s="6">
        <v>1.6365613581541478E-104</v>
      </c>
    </row>
    <row r="13" spans="1:9">
      <c r="A13" s="6" t="s">
        <v>114</v>
      </c>
      <c r="B13" s="6">
        <v>315</v>
      </c>
      <c r="C13" s="6">
        <v>730592352268.04395</v>
      </c>
      <c r="D13" s="6">
        <v>2319340800.8509331</v>
      </c>
      <c r="E13" s="6"/>
      <c r="F13" s="6"/>
    </row>
    <row r="14" spans="1:9" ht="14.4" thickBot="1">
      <c r="A14" s="7" t="s">
        <v>115</v>
      </c>
      <c r="B14" s="7">
        <v>319</v>
      </c>
      <c r="C14" s="7">
        <v>3435168616790.7393</v>
      </c>
      <c r="D14" s="7"/>
      <c r="E14" s="7"/>
      <c r="F14" s="7"/>
    </row>
    <row r="15" spans="1:9" ht="14.4" thickBot="1"/>
    <row r="16" spans="1:9" ht="14.4">
      <c r="A16" s="8"/>
      <c r="B16" s="8" t="s">
        <v>122</v>
      </c>
      <c r="C16" s="8" t="s">
        <v>110</v>
      </c>
      <c r="D16" s="8" t="s">
        <v>123</v>
      </c>
      <c r="E16" s="8" t="s">
        <v>124</v>
      </c>
      <c r="F16" s="8" t="s">
        <v>125</v>
      </c>
      <c r="G16" s="8" t="s">
        <v>126</v>
      </c>
      <c r="H16" s="8" t="s">
        <v>127</v>
      </c>
      <c r="I16" s="8" t="s">
        <v>128</v>
      </c>
    </row>
    <row r="17" spans="1:9">
      <c r="A17" s="6" t="s">
        <v>116</v>
      </c>
      <c r="B17" s="6">
        <v>404245.38972201536</v>
      </c>
      <c r="C17" s="6">
        <v>11377.481567306548</v>
      </c>
      <c r="D17" s="6">
        <v>35.530304956381883</v>
      </c>
      <c r="E17" s="6">
        <v>3.2242801949631295E-112</v>
      </c>
      <c r="F17" s="6">
        <v>381859.92700696399</v>
      </c>
      <c r="G17" s="6">
        <v>426630.85243706673</v>
      </c>
      <c r="H17" s="6">
        <v>381859.92700696399</v>
      </c>
      <c r="I17" s="6">
        <v>426630.85243706673</v>
      </c>
    </row>
    <row r="18" spans="1:9">
      <c r="A18" s="6" t="s">
        <v>104</v>
      </c>
      <c r="B18" s="6">
        <v>10436.877017656949</v>
      </c>
      <c r="C18" s="6">
        <v>5958.3797428677908</v>
      </c>
      <c r="D18" s="6">
        <v>1.7516300518022438</v>
      </c>
      <c r="E18" s="6">
        <v>8.0810621876145489E-2</v>
      </c>
      <c r="F18" s="6">
        <v>-1286.3753371838629</v>
      </c>
      <c r="G18" s="6">
        <v>22160.129372497759</v>
      </c>
      <c r="H18" s="6">
        <v>-1286.3753371838629</v>
      </c>
      <c r="I18" s="6">
        <v>22160.129372497759</v>
      </c>
    </row>
    <row r="19" spans="1:9">
      <c r="A19" s="6" t="s">
        <v>4</v>
      </c>
      <c r="B19" s="6">
        <v>1.137568704841708</v>
      </c>
      <c r="C19" s="6">
        <v>0.13948287768129622</v>
      </c>
      <c r="D19" s="6">
        <v>8.1556153970448868</v>
      </c>
      <c r="E19" s="6">
        <v>8.3459470522670328E-15</v>
      </c>
      <c r="F19" s="6">
        <v>0.86313286073583972</v>
      </c>
      <c r="G19" s="6">
        <v>1.4120045489475763</v>
      </c>
      <c r="H19" s="6">
        <v>0.86313286073583972</v>
      </c>
      <c r="I19" s="6">
        <v>1.4120045489475763</v>
      </c>
    </row>
    <row r="20" spans="1:9">
      <c r="A20" s="6" t="s">
        <v>5</v>
      </c>
      <c r="B20" s="6">
        <v>33.564798027900622</v>
      </c>
      <c r="C20" s="6">
        <v>1.1121426081441914</v>
      </c>
      <c r="D20" s="6">
        <v>30.1803004238004</v>
      </c>
      <c r="E20" s="6">
        <v>5.9083408401592042E-95</v>
      </c>
      <c r="F20" s="6">
        <v>31.376631275781197</v>
      </c>
      <c r="G20" s="6">
        <v>35.752964780020051</v>
      </c>
      <c r="H20" s="6">
        <v>31.376631275781197</v>
      </c>
      <c r="I20" s="6">
        <v>35.752964780020051</v>
      </c>
    </row>
    <row r="21" spans="1:9" ht="14.4" thickBot="1">
      <c r="A21" s="7" t="s">
        <v>6</v>
      </c>
      <c r="B21" s="7">
        <v>-88560.590649638063</v>
      </c>
      <c r="C21" s="7">
        <v>39654.765511530648</v>
      </c>
      <c r="D21" s="7">
        <v>-2.2332899843749368</v>
      </c>
      <c r="E21" s="7">
        <v>2.6231834507168827E-2</v>
      </c>
      <c r="F21" s="7">
        <v>-166582.27493724643</v>
      </c>
      <c r="G21" s="7">
        <v>-10538.906362029695</v>
      </c>
      <c r="H21" s="7">
        <v>-166582.27493724643</v>
      </c>
      <c r="I21" s="7">
        <v>-10538.906362029695</v>
      </c>
    </row>
    <row r="25" spans="1:9">
      <c r="A25" t="s">
        <v>148</v>
      </c>
    </row>
    <row r="26" spans="1:9" ht="14.4" thickBot="1"/>
    <row r="27" spans="1:9" ht="14.4">
      <c r="A27" s="8" t="s">
        <v>149</v>
      </c>
      <c r="B27" s="8" t="s">
        <v>150</v>
      </c>
      <c r="C27" s="8" t="s">
        <v>151</v>
      </c>
      <c r="D27" s="8" t="s">
        <v>152</v>
      </c>
    </row>
    <row r="28" spans="1:9">
      <c r="A28" s="6">
        <v>1</v>
      </c>
      <c r="B28" s="6">
        <v>759253.24684002204</v>
      </c>
      <c r="C28" s="6">
        <v>-100420.62684002204</v>
      </c>
      <c r="D28" s="6">
        <v>-2.0983634290226649</v>
      </c>
    </row>
    <row r="29" spans="1:9">
      <c r="A29" s="6">
        <v>2</v>
      </c>
      <c r="B29" s="6">
        <v>724088.88741891354</v>
      </c>
      <c r="C29" s="6">
        <v>-89652.887418913539</v>
      </c>
      <c r="D29" s="6">
        <v>-1.8733635328310707</v>
      </c>
    </row>
    <row r="30" spans="1:9">
      <c r="A30" s="6">
        <v>3</v>
      </c>
      <c r="B30" s="6">
        <v>766507.94313322054</v>
      </c>
      <c r="C30" s="6">
        <v>-87785.883133220486</v>
      </c>
      <c r="D30" s="6">
        <v>-1.834351094468502</v>
      </c>
    </row>
    <row r="31" spans="1:9">
      <c r="A31" s="6">
        <v>4</v>
      </c>
      <c r="B31" s="6">
        <v>772897.71900166175</v>
      </c>
      <c r="C31" s="6">
        <v>-113977.41900166171</v>
      </c>
      <c r="D31" s="6">
        <v>-2.3816426494577674</v>
      </c>
    </row>
    <row r="32" spans="1:9">
      <c r="A32" s="6">
        <v>5</v>
      </c>
      <c r="B32" s="6">
        <v>759236.59464102832</v>
      </c>
      <c r="C32" s="6">
        <v>-17895.154641028377</v>
      </c>
      <c r="D32" s="6">
        <v>-0.37393252001165178</v>
      </c>
    </row>
    <row r="33" spans="1:4">
      <c r="A33" s="6">
        <v>6</v>
      </c>
      <c r="B33" s="6">
        <v>796720.31007738272</v>
      </c>
      <c r="C33" s="6">
        <v>-34884.97007738275</v>
      </c>
      <c r="D33" s="6">
        <v>-0.72894730630934446</v>
      </c>
    </row>
    <row r="34" spans="1:4">
      <c r="A34" s="6">
        <v>7</v>
      </c>
      <c r="B34" s="6">
        <v>802335.8679897195</v>
      </c>
      <c r="C34" s="6">
        <v>4279.6720102805411</v>
      </c>
      <c r="D34" s="6">
        <v>8.9426918723490276E-2</v>
      </c>
    </row>
    <row r="35" spans="1:4">
      <c r="A35" s="6">
        <v>8</v>
      </c>
      <c r="B35" s="6">
        <v>758071.44304781524</v>
      </c>
      <c r="C35" s="6">
        <v>92092.816952184774</v>
      </c>
      <c r="D35" s="6">
        <v>1.9243476688907375</v>
      </c>
    </row>
    <row r="36" spans="1:4">
      <c r="A36" s="6">
        <v>9</v>
      </c>
      <c r="B36" s="6">
        <v>835434.41920816887</v>
      </c>
      <c r="C36" s="6">
        <v>95147.280791831086</v>
      </c>
      <c r="D36" s="6">
        <v>1.9881729547714622</v>
      </c>
    </row>
    <row r="37" spans="1:4">
      <c r="A37" s="6">
        <v>10</v>
      </c>
      <c r="B37" s="6">
        <v>779757.95342221716</v>
      </c>
      <c r="C37" s="6">
        <v>-747.01342221722007</v>
      </c>
      <c r="D37" s="6">
        <v>-1.5609399139350538E-2</v>
      </c>
    </row>
    <row r="38" spans="1:4">
      <c r="A38" s="6">
        <v>11</v>
      </c>
      <c r="B38" s="6">
        <v>732240.09336047294</v>
      </c>
      <c r="C38" s="6">
        <v>-9179.3333604729269</v>
      </c>
      <c r="D38" s="6">
        <v>-0.19180897423702922</v>
      </c>
    </row>
    <row r="39" spans="1:4">
      <c r="A39" s="6">
        <v>12</v>
      </c>
      <c r="B39" s="6">
        <v>858332.73444093473</v>
      </c>
      <c r="C39" s="6">
        <v>52459.205559065216</v>
      </c>
      <c r="D39" s="6">
        <v>1.0961739826229984</v>
      </c>
    </row>
    <row r="40" spans="1:4">
      <c r="A40" s="6">
        <v>13</v>
      </c>
      <c r="B40" s="6">
        <v>904472.23671232129</v>
      </c>
      <c r="C40" s="6">
        <v>17696.363287678687</v>
      </c>
      <c r="D40" s="6">
        <v>0.36977862734038375</v>
      </c>
    </row>
    <row r="41" spans="1:4">
      <c r="A41" s="6">
        <v>14</v>
      </c>
      <c r="B41" s="6">
        <v>792157.7336249795</v>
      </c>
      <c r="C41" s="6">
        <v>-65551.453624979476</v>
      </c>
      <c r="D41" s="6">
        <v>-1.3697462098604636</v>
      </c>
    </row>
    <row r="42" spans="1:4">
      <c r="A42" s="6">
        <v>15</v>
      </c>
      <c r="B42" s="6">
        <v>750763.6372104754</v>
      </c>
      <c r="C42" s="6">
        <v>-4262.5472104754299</v>
      </c>
      <c r="D42" s="6">
        <v>-8.9069083338757765E-2</v>
      </c>
    </row>
    <row r="43" spans="1:4">
      <c r="A43" s="6">
        <v>16</v>
      </c>
      <c r="B43" s="6">
        <v>856578.33559523558</v>
      </c>
      <c r="C43" s="6">
        <v>-22561.315595235559</v>
      </c>
      <c r="D43" s="6">
        <v>-0.47143541168190761</v>
      </c>
    </row>
    <row r="44" spans="1:4">
      <c r="A44" s="6">
        <v>17</v>
      </c>
      <c r="B44" s="6">
        <v>696187.51978787174</v>
      </c>
      <c r="C44" s="6">
        <v>-30034.999787871726</v>
      </c>
      <c r="D44" s="6">
        <v>-0.62760358233947555</v>
      </c>
    </row>
    <row r="45" spans="1:4">
      <c r="A45" s="6">
        <v>18</v>
      </c>
      <c r="B45" s="6">
        <v>604044.08636361035</v>
      </c>
      <c r="C45" s="6">
        <v>-30888.896363610402</v>
      </c>
      <c r="D45" s="6">
        <v>-0.64544638419284561</v>
      </c>
    </row>
    <row r="46" spans="1:4">
      <c r="A46" s="6">
        <v>19</v>
      </c>
      <c r="B46" s="6">
        <v>679803.05628015031</v>
      </c>
      <c r="C46" s="6">
        <v>-13229.856280150358</v>
      </c>
      <c r="D46" s="6">
        <v>-0.27644765286835815</v>
      </c>
    </row>
    <row r="47" spans="1:4">
      <c r="A47" s="6">
        <v>20</v>
      </c>
      <c r="B47" s="6">
        <v>600688.60144134983</v>
      </c>
      <c r="C47" s="6">
        <v>-9068.6514413498808</v>
      </c>
      <c r="D47" s="6">
        <v>-0.18949619350014099</v>
      </c>
    </row>
    <row r="48" spans="1:4">
      <c r="A48" s="6">
        <v>21</v>
      </c>
      <c r="B48" s="6">
        <v>513040.10744009679</v>
      </c>
      <c r="C48" s="6">
        <v>-97318.287440096785</v>
      </c>
      <c r="D48" s="6">
        <v>-2.0335377478248171</v>
      </c>
    </row>
    <row r="49" spans="1:4">
      <c r="A49" s="6">
        <v>22</v>
      </c>
      <c r="B49" s="6">
        <v>497979.69129420089</v>
      </c>
      <c r="C49" s="6">
        <v>-6074.5612942008884</v>
      </c>
      <c r="D49" s="6">
        <v>-0.12693246067278716</v>
      </c>
    </row>
    <row r="50" spans="1:4">
      <c r="A50" s="6">
        <v>23</v>
      </c>
      <c r="B50" s="6">
        <v>551069.71313189634</v>
      </c>
      <c r="C50" s="6">
        <v>4859.6868681036867</v>
      </c>
      <c r="D50" s="6">
        <v>0.10154675908143564</v>
      </c>
    </row>
    <row r="51" spans="1:4">
      <c r="A51" s="6">
        <v>24</v>
      </c>
      <c r="B51" s="6">
        <v>543419.12236561731</v>
      </c>
      <c r="C51" s="6">
        <v>22391.867634382681</v>
      </c>
      <c r="D51" s="6">
        <v>0.46789467094601694</v>
      </c>
    </row>
    <row r="52" spans="1:4">
      <c r="A52" s="6">
        <v>25</v>
      </c>
      <c r="B52" s="6">
        <v>812565.49043710809</v>
      </c>
      <c r="C52" s="6">
        <v>-794.35043710807804</v>
      </c>
      <c r="D52" s="6">
        <v>-1.6598541151422605E-2</v>
      </c>
    </row>
    <row r="53" spans="1:4">
      <c r="A53" s="6">
        <v>26</v>
      </c>
      <c r="B53" s="6">
        <v>898051.23582480138</v>
      </c>
      <c r="C53" s="6">
        <v>-97599.295824801433</v>
      </c>
      <c r="D53" s="6">
        <v>-2.0394096263050456</v>
      </c>
    </row>
    <row r="54" spans="1:4">
      <c r="A54" s="6">
        <v>27</v>
      </c>
      <c r="B54" s="6">
        <v>775245.63440210547</v>
      </c>
      <c r="C54" s="6">
        <v>8427.1855978944805</v>
      </c>
      <c r="D54" s="6">
        <v>0.17609228925028683</v>
      </c>
    </row>
    <row r="55" spans="1:4">
      <c r="A55" s="6">
        <v>28</v>
      </c>
      <c r="B55" s="6">
        <v>706283.45886854373</v>
      </c>
      <c r="C55" s="6">
        <v>-4641.4888685437618</v>
      </c>
      <c r="D55" s="6">
        <v>-9.6987350153508359E-2</v>
      </c>
    </row>
    <row r="56" spans="1:4">
      <c r="A56" s="6">
        <v>29</v>
      </c>
      <c r="B56" s="6">
        <v>605158.20946146618</v>
      </c>
      <c r="C56" s="6">
        <v>-93313.799461466202</v>
      </c>
      <c r="D56" s="6">
        <v>-1.9498610034075001</v>
      </c>
    </row>
    <row r="57" spans="1:4">
      <c r="A57" s="6">
        <v>30</v>
      </c>
      <c r="B57" s="6">
        <v>537204.04035061027</v>
      </c>
      <c r="C57" s="6">
        <v>179.74964938976336</v>
      </c>
      <c r="D57" s="6">
        <v>3.7560021534221565E-3</v>
      </c>
    </row>
    <row r="58" spans="1:4">
      <c r="A58" s="6">
        <v>31</v>
      </c>
      <c r="B58" s="6">
        <v>526296.32098283502</v>
      </c>
      <c r="C58" s="6">
        <v>-26123.300982835004</v>
      </c>
      <c r="D58" s="6">
        <v>-0.54586573647921255</v>
      </c>
    </row>
    <row r="59" spans="1:4">
      <c r="A59" s="6">
        <v>32</v>
      </c>
      <c r="B59" s="6">
        <v>501379.52422424307</v>
      </c>
      <c r="C59" s="6">
        <v>-73462.144224243064</v>
      </c>
      <c r="D59" s="6">
        <v>-1.5350459532911873</v>
      </c>
    </row>
    <row r="60" spans="1:4">
      <c r="A60" s="6">
        <v>33</v>
      </c>
      <c r="B60" s="6">
        <v>766187.26204522606</v>
      </c>
      <c r="C60" s="6">
        <v>-124322.23204522603</v>
      </c>
      <c r="D60" s="6">
        <v>-2.5978051855199378</v>
      </c>
    </row>
    <row r="61" spans="1:4">
      <c r="A61" s="6">
        <v>34</v>
      </c>
      <c r="B61" s="6">
        <v>874507.07742523763</v>
      </c>
      <c r="C61" s="6">
        <v>-75029.317425237619</v>
      </c>
      <c r="D61" s="6">
        <v>-1.5677931989058775</v>
      </c>
    </row>
    <row r="62" spans="1:4">
      <c r="A62" s="6">
        <v>35</v>
      </c>
      <c r="B62" s="6">
        <v>802596.20434615877</v>
      </c>
      <c r="C62" s="6">
        <v>-3644.0343461587327</v>
      </c>
      <c r="D62" s="6">
        <v>-7.6144798600625063E-2</v>
      </c>
    </row>
    <row r="63" spans="1:4">
      <c r="A63" s="6">
        <v>36</v>
      </c>
      <c r="B63" s="6">
        <v>792927.65188130992</v>
      </c>
      <c r="C63" s="6">
        <v>8052.1281186901033</v>
      </c>
      <c r="D63" s="6">
        <v>0.16825518523182997</v>
      </c>
    </row>
    <row r="64" spans="1:4">
      <c r="A64" s="6">
        <v>37</v>
      </c>
      <c r="B64" s="6">
        <v>778368.14888233808</v>
      </c>
      <c r="C64" s="6">
        <v>42225.781117661973</v>
      </c>
      <c r="D64" s="6">
        <v>0.88233899396358539</v>
      </c>
    </row>
    <row r="65" spans="1:4">
      <c r="A65" s="6">
        <v>38</v>
      </c>
      <c r="B65" s="6">
        <v>733855.29202742875</v>
      </c>
      <c r="C65" s="6">
        <v>-15524.762027428718</v>
      </c>
      <c r="D65" s="6">
        <v>-0.32440140942889412</v>
      </c>
    </row>
    <row r="66" spans="1:4">
      <c r="A66" s="6">
        <v>39</v>
      </c>
      <c r="B66" s="6">
        <v>746754.99445505836</v>
      </c>
      <c r="C66" s="6">
        <v>-10121.594455058337</v>
      </c>
      <c r="D66" s="6">
        <v>-0.21149821820698309</v>
      </c>
    </row>
    <row r="67" spans="1:4">
      <c r="A67" s="6">
        <v>40</v>
      </c>
      <c r="B67" s="6">
        <v>792828.50376580923</v>
      </c>
      <c r="C67" s="6">
        <v>35795.346234190743</v>
      </c>
      <c r="D67" s="6">
        <v>0.74797029087150368</v>
      </c>
    </row>
    <row r="68" spans="1:4">
      <c r="A68" s="6">
        <v>41</v>
      </c>
      <c r="B68" s="6">
        <v>553815.71599239821</v>
      </c>
      <c r="C68" s="6">
        <v>38380.134007601766</v>
      </c>
      <c r="D68" s="6">
        <v>0.80198134722699921</v>
      </c>
    </row>
    <row r="69" spans="1:4">
      <c r="A69" s="6">
        <v>42</v>
      </c>
      <c r="B69" s="6">
        <v>552363.91092902678</v>
      </c>
      <c r="C69" s="6">
        <v>-19719.450929026818</v>
      </c>
      <c r="D69" s="6">
        <v>-0.41205254310746547</v>
      </c>
    </row>
    <row r="70" spans="1:4">
      <c r="A70" s="6">
        <v>43</v>
      </c>
      <c r="B70" s="6">
        <v>583130.23449921724</v>
      </c>
      <c r="C70" s="6">
        <v>74298.945500782807</v>
      </c>
      <c r="D70" s="6">
        <v>1.5525315361968566</v>
      </c>
    </row>
    <row r="71" spans="1:4">
      <c r="A71" s="6">
        <v>44</v>
      </c>
      <c r="B71" s="6">
        <v>598613.62488444475</v>
      </c>
      <c r="C71" s="6">
        <v>6564.3751155552454</v>
      </c>
      <c r="D71" s="6">
        <v>0.13716748351721933</v>
      </c>
    </row>
    <row r="72" spans="1:4">
      <c r="A72" s="6">
        <v>45</v>
      </c>
      <c r="B72" s="6">
        <v>740017.19982507743</v>
      </c>
      <c r="C72" s="6">
        <v>-144549.59982507746</v>
      </c>
      <c r="D72" s="6">
        <v>-3.0204710276904794</v>
      </c>
    </row>
    <row r="73" spans="1:4">
      <c r="A73" s="6">
        <v>46</v>
      </c>
      <c r="B73" s="6">
        <v>615953.26271995006</v>
      </c>
      <c r="C73" s="6">
        <v>-16349.862719950033</v>
      </c>
      <c r="D73" s="6">
        <v>-0.34164249995909163</v>
      </c>
    </row>
    <row r="74" spans="1:4">
      <c r="A74" s="6">
        <v>47</v>
      </c>
      <c r="B74" s="6">
        <v>589283.50181044894</v>
      </c>
      <c r="C74" s="6">
        <v>25516.588189551025</v>
      </c>
      <c r="D74" s="6">
        <v>0.5331880229714544</v>
      </c>
    </row>
    <row r="75" spans="1:4">
      <c r="A75" s="6">
        <v>48</v>
      </c>
      <c r="B75" s="6">
        <v>585582.99740525964</v>
      </c>
      <c r="C75" s="6">
        <v>-217.26740525965579</v>
      </c>
      <c r="D75" s="6">
        <v>-4.5399634702719231E-3</v>
      </c>
    </row>
    <row r="76" spans="1:4">
      <c r="A76" s="6">
        <v>49</v>
      </c>
      <c r="B76" s="6">
        <v>618945.0746485847</v>
      </c>
      <c r="C76" s="6">
        <v>3866.6653514152858</v>
      </c>
      <c r="D76" s="6">
        <v>8.0796838468302129E-2</v>
      </c>
    </row>
    <row r="77" spans="1:4">
      <c r="A77" s="6">
        <v>50</v>
      </c>
      <c r="B77" s="6">
        <v>628074.76341009943</v>
      </c>
      <c r="C77" s="6">
        <v>-24777.193410099484</v>
      </c>
      <c r="D77" s="6">
        <v>-0.51773782101958765</v>
      </c>
    </row>
    <row r="78" spans="1:4">
      <c r="A78" s="6">
        <v>51</v>
      </c>
      <c r="B78" s="6">
        <v>631326.36182459712</v>
      </c>
      <c r="C78" s="6">
        <v>-5653.5018245971296</v>
      </c>
      <c r="D78" s="6">
        <v>-0.11813411096852024</v>
      </c>
    </row>
    <row r="79" spans="1:4">
      <c r="A79" s="6">
        <v>52</v>
      </c>
      <c r="B79" s="6">
        <v>715412.13787139801</v>
      </c>
      <c r="C79" s="6">
        <v>58403.002128602006</v>
      </c>
      <c r="D79" s="6">
        <v>1.2203740174518551</v>
      </c>
    </row>
    <row r="80" spans="1:4">
      <c r="A80" s="6">
        <v>53</v>
      </c>
      <c r="B80" s="6">
        <v>577345.19625542732</v>
      </c>
      <c r="C80" s="6">
        <v>-113810.94625542732</v>
      </c>
      <c r="D80" s="6">
        <v>-2.3781640780365425</v>
      </c>
    </row>
    <row r="81" spans="1:4">
      <c r="A81" s="6">
        <v>54</v>
      </c>
      <c r="B81" s="6">
        <v>702688.90618276584</v>
      </c>
      <c r="C81" s="6">
        <v>43988.843817234156</v>
      </c>
      <c r="D81" s="6">
        <v>0.91917949584324321</v>
      </c>
    </row>
    <row r="82" spans="1:4">
      <c r="A82" s="6">
        <v>55</v>
      </c>
      <c r="B82" s="6">
        <v>682803.72982668539</v>
      </c>
      <c r="C82" s="6">
        <v>38048.77017331461</v>
      </c>
      <c r="D82" s="6">
        <v>0.79505725430457008</v>
      </c>
    </row>
    <row r="83" spans="1:4">
      <c r="A83" s="6">
        <v>56</v>
      </c>
      <c r="B83" s="6">
        <v>535327.6293270418</v>
      </c>
      <c r="C83" s="6">
        <v>-47862.719327041821</v>
      </c>
      <c r="D83" s="6">
        <v>-1.0001269959152828</v>
      </c>
    </row>
    <row r="84" spans="1:4">
      <c r="A84" s="6">
        <v>57</v>
      </c>
      <c r="B84" s="6">
        <v>506091.56565574498</v>
      </c>
      <c r="C84" s="6">
        <v>11957.694344255025</v>
      </c>
      <c r="D84" s="6">
        <v>0.24986488629859654</v>
      </c>
    </row>
    <row r="85" spans="1:4">
      <c r="A85" s="6">
        <v>58</v>
      </c>
      <c r="B85" s="6">
        <v>552785.03618469054</v>
      </c>
      <c r="C85" s="6">
        <v>-52486.556184690562</v>
      </c>
      <c r="D85" s="6">
        <v>-1.096745494217569</v>
      </c>
    </row>
    <row r="86" spans="1:4">
      <c r="A86" s="6">
        <v>59</v>
      </c>
      <c r="B86" s="6">
        <v>662379.04719693714</v>
      </c>
      <c r="C86" s="6">
        <v>-45087.89719693712</v>
      </c>
      <c r="D86" s="6">
        <v>-0.9421450308242828</v>
      </c>
    </row>
    <row r="87" spans="1:4">
      <c r="A87" s="6">
        <v>60</v>
      </c>
      <c r="B87" s="6">
        <v>603247.6109173923</v>
      </c>
      <c r="C87" s="6">
        <v>-49491.180917392252</v>
      </c>
      <c r="D87" s="6">
        <v>-1.0341549078521715</v>
      </c>
    </row>
    <row r="88" spans="1:4">
      <c r="A88" s="6">
        <v>61</v>
      </c>
      <c r="B88" s="6">
        <v>662062.42522868712</v>
      </c>
      <c r="C88" s="6">
        <v>87497.284771312843</v>
      </c>
      <c r="D88" s="6">
        <v>1.8283206177889688</v>
      </c>
    </row>
    <row r="89" spans="1:4">
      <c r="A89" s="6">
        <v>62</v>
      </c>
      <c r="B89" s="6">
        <v>571948.29505419917</v>
      </c>
      <c r="C89" s="6">
        <v>44018.184945800807</v>
      </c>
      <c r="D89" s="6">
        <v>0.91979260047212186</v>
      </c>
    </row>
    <row r="90" spans="1:4">
      <c r="A90" s="6">
        <v>63</v>
      </c>
      <c r="B90" s="6">
        <v>580563.52884178422</v>
      </c>
      <c r="C90" s="6">
        <v>-8552.3288417842705</v>
      </c>
      <c r="D90" s="6">
        <v>-0.17870725008682825</v>
      </c>
    </row>
    <row r="91" spans="1:4">
      <c r="A91" s="6">
        <v>64</v>
      </c>
      <c r="B91" s="6">
        <v>706927.94013163366</v>
      </c>
      <c r="C91" s="6">
        <v>54932.249868366285</v>
      </c>
      <c r="D91" s="6">
        <v>1.147850076472293</v>
      </c>
    </row>
    <row r="92" spans="1:4">
      <c r="A92" s="6">
        <v>65</v>
      </c>
      <c r="B92" s="6">
        <v>792838.97017956094</v>
      </c>
      <c r="C92" s="6">
        <v>-8336.2901795608923</v>
      </c>
      <c r="D92" s="6">
        <v>-0.17419296211303675</v>
      </c>
    </row>
    <row r="93" spans="1:4">
      <c r="A93" s="6">
        <v>66</v>
      </c>
      <c r="B93" s="6">
        <v>725556.4599775098</v>
      </c>
      <c r="C93" s="6">
        <v>-8414.9099775097566</v>
      </c>
      <c r="D93" s="6">
        <v>-0.17583578106372766</v>
      </c>
    </row>
    <row r="94" spans="1:4">
      <c r="A94" s="6">
        <v>67</v>
      </c>
      <c r="B94" s="6">
        <v>819072.60211727698</v>
      </c>
      <c r="C94" s="6">
        <v>-133693.52211727703</v>
      </c>
      <c r="D94" s="6">
        <v>-2.7936252375226194</v>
      </c>
    </row>
    <row r="95" spans="1:4">
      <c r="A95" s="6">
        <v>68</v>
      </c>
      <c r="B95" s="6">
        <v>730750.18012194824</v>
      </c>
      <c r="C95" s="6">
        <v>9746.4698780517792</v>
      </c>
      <c r="D95" s="6">
        <v>0.20365971213021714</v>
      </c>
    </row>
    <row r="96" spans="1:4">
      <c r="A96" s="6">
        <v>69</v>
      </c>
      <c r="B96" s="6">
        <v>593119.7795825646</v>
      </c>
      <c r="C96" s="6">
        <v>68807.360417435411</v>
      </c>
      <c r="D96" s="6">
        <v>1.437780795548522</v>
      </c>
    </row>
    <row r="97" spans="1:4">
      <c r="A97" s="6">
        <v>70</v>
      </c>
      <c r="B97" s="6">
        <v>524330.7831562598</v>
      </c>
      <c r="C97" s="6">
        <v>-45280.2831562598</v>
      </c>
      <c r="D97" s="6">
        <v>-0.94616507803971472</v>
      </c>
    </row>
    <row r="98" spans="1:4">
      <c r="A98" s="6">
        <v>71</v>
      </c>
      <c r="B98" s="6">
        <v>562875.9602944284</v>
      </c>
      <c r="C98" s="6">
        <v>42147.909705571597</v>
      </c>
      <c r="D98" s="6">
        <v>0.88071181309010693</v>
      </c>
    </row>
    <row r="99" spans="1:4">
      <c r="A99" s="6">
        <v>72</v>
      </c>
      <c r="B99" s="6">
        <v>647818.72948404215</v>
      </c>
      <c r="C99" s="6">
        <v>26955.360515957815</v>
      </c>
      <c r="D99" s="6">
        <v>0.56325223714163153</v>
      </c>
    </row>
    <row r="100" spans="1:4">
      <c r="A100" s="6">
        <v>73</v>
      </c>
      <c r="B100" s="6">
        <v>630907.91585517745</v>
      </c>
      <c r="C100" s="6">
        <v>-14838.505855177413</v>
      </c>
      <c r="D100" s="6">
        <v>-0.31006157806051127</v>
      </c>
    </row>
    <row r="101" spans="1:4">
      <c r="A101" s="6">
        <v>74</v>
      </c>
      <c r="B101" s="6">
        <v>688504.89336035785</v>
      </c>
      <c r="C101" s="6">
        <v>-57674.953360357904</v>
      </c>
      <c r="D101" s="6">
        <v>-1.2051608988137672</v>
      </c>
    </row>
    <row r="102" spans="1:4">
      <c r="A102" s="6">
        <v>75</v>
      </c>
      <c r="B102" s="6">
        <v>696718.12650027801</v>
      </c>
      <c r="C102" s="6">
        <v>91369.553499722038</v>
      </c>
      <c r="D102" s="6">
        <v>1.9092345429727502</v>
      </c>
    </row>
    <row r="103" spans="1:4">
      <c r="A103" s="6">
        <v>76</v>
      </c>
      <c r="B103" s="6">
        <v>730076.04365540436</v>
      </c>
      <c r="C103" s="6">
        <v>-49235.683655404369</v>
      </c>
      <c r="D103" s="6">
        <v>-1.0288161031898098</v>
      </c>
    </row>
    <row r="104" spans="1:4">
      <c r="A104" s="6">
        <v>77</v>
      </c>
      <c r="B104" s="6">
        <v>683808.92170223896</v>
      </c>
      <c r="C104" s="6">
        <v>-40151.451702238992</v>
      </c>
      <c r="D104" s="6">
        <v>-0.83899434334709666</v>
      </c>
    </row>
    <row r="105" spans="1:4">
      <c r="A105" s="6">
        <v>78</v>
      </c>
      <c r="B105" s="6">
        <v>661112.44054119417</v>
      </c>
      <c r="C105" s="6">
        <v>30000.159458805807</v>
      </c>
      <c r="D105" s="6">
        <v>0.6268755678401885</v>
      </c>
    </row>
    <row r="106" spans="1:4">
      <c r="A106" s="6">
        <v>79</v>
      </c>
      <c r="B106" s="6">
        <v>731387.74082880386</v>
      </c>
      <c r="C106" s="6">
        <v>45534.429171196185</v>
      </c>
      <c r="D106" s="6">
        <v>0.95147564739339874</v>
      </c>
    </row>
    <row r="107" spans="1:4">
      <c r="A107" s="6">
        <v>80</v>
      </c>
      <c r="B107" s="6">
        <v>671174.46951776755</v>
      </c>
      <c r="C107" s="6">
        <v>-34613.129517767578</v>
      </c>
      <c r="D107" s="6">
        <v>-0.72326699632950087</v>
      </c>
    </row>
    <row r="108" spans="1:4">
      <c r="A108" s="6">
        <v>81</v>
      </c>
      <c r="B108" s="6">
        <v>649671.81003948452</v>
      </c>
      <c r="C108" s="6">
        <v>-28302.230039484566</v>
      </c>
      <c r="D108" s="6">
        <v>-0.59139607412779294</v>
      </c>
    </row>
    <row r="109" spans="1:4">
      <c r="A109" s="6">
        <v>82</v>
      </c>
      <c r="B109" s="6">
        <v>624634.87436339329</v>
      </c>
      <c r="C109" s="6">
        <v>57573.135636606719</v>
      </c>
      <c r="D109" s="6">
        <v>1.2030333420092654</v>
      </c>
    </row>
    <row r="110" spans="1:4">
      <c r="A110" s="6">
        <v>83</v>
      </c>
      <c r="B110" s="6">
        <v>645854.76789813407</v>
      </c>
      <c r="C110" s="6">
        <v>81387.092101865914</v>
      </c>
      <c r="D110" s="6">
        <v>1.7006436131206419</v>
      </c>
    </row>
    <row r="111" spans="1:4">
      <c r="A111" s="6">
        <v>84</v>
      </c>
      <c r="B111" s="6">
        <v>572976.19138436322</v>
      </c>
      <c r="C111" s="6">
        <v>-3875.4113843631931</v>
      </c>
      <c r="D111" s="6">
        <v>-8.0979593309258788E-2</v>
      </c>
    </row>
    <row r="112" spans="1:4">
      <c r="A112" s="6">
        <v>85</v>
      </c>
      <c r="B112" s="6">
        <v>571874.29421008227</v>
      </c>
      <c r="C112" s="6">
        <v>2561.995789917768</v>
      </c>
      <c r="D112" s="6">
        <v>5.3534800967114722E-2</v>
      </c>
    </row>
    <row r="113" spans="1:4">
      <c r="A113" s="6">
        <v>86</v>
      </c>
      <c r="B113" s="6">
        <v>631443.10125977884</v>
      </c>
      <c r="C113" s="6">
        <v>-19676.381259778864</v>
      </c>
      <c r="D113" s="6">
        <v>-0.41115257044553433</v>
      </c>
    </row>
    <row r="114" spans="1:4">
      <c r="A114" s="6">
        <v>87</v>
      </c>
      <c r="B114" s="6">
        <v>625594.81935702427</v>
      </c>
      <c r="C114" s="6">
        <v>-10998.499357024324</v>
      </c>
      <c r="D114" s="6">
        <v>-0.22982179609051392</v>
      </c>
    </row>
    <row r="115" spans="1:4">
      <c r="A115" s="6">
        <v>88</v>
      </c>
      <c r="B115" s="6">
        <v>465742.24574978818</v>
      </c>
      <c r="C115" s="6">
        <v>-15030.3257497882</v>
      </c>
      <c r="D115" s="6">
        <v>-0.31406979693422415</v>
      </c>
    </row>
    <row r="116" spans="1:4">
      <c r="A116" s="6">
        <v>89</v>
      </c>
      <c r="B116" s="6">
        <v>694903.9015182209</v>
      </c>
      <c r="C116" s="6">
        <v>16309.558481779066</v>
      </c>
      <c r="D116" s="6">
        <v>0.34080031302923597</v>
      </c>
    </row>
    <row r="117" spans="1:4">
      <c r="A117" s="6">
        <v>90</v>
      </c>
      <c r="B117" s="6">
        <v>745355.81577245321</v>
      </c>
      <c r="C117" s="6">
        <v>-118183.91577245318</v>
      </c>
      <c r="D117" s="6">
        <v>-2.4695405173150604</v>
      </c>
    </row>
    <row r="118" spans="1:4">
      <c r="A118" s="6">
        <v>91</v>
      </c>
      <c r="B118" s="6">
        <v>695101.78459193441</v>
      </c>
      <c r="C118" s="6">
        <v>44750.795408065547</v>
      </c>
      <c r="D118" s="6">
        <v>0.9351010390878729</v>
      </c>
    </row>
    <row r="119" spans="1:4">
      <c r="A119" s="6">
        <v>92</v>
      </c>
      <c r="B119" s="6">
        <v>560161.28855737578</v>
      </c>
      <c r="C119" s="6">
        <v>26145.931442624191</v>
      </c>
      <c r="D119" s="6">
        <v>0.54633861671007633</v>
      </c>
    </row>
    <row r="120" spans="1:4">
      <c r="A120" s="6">
        <v>93</v>
      </c>
      <c r="B120" s="6">
        <v>593172.35977984429</v>
      </c>
      <c r="C120" s="6">
        <v>-7234.879779844312</v>
      </c>
      <c r="D120" s="6">
        <v>-0.15117817545180262</v>
      </c>
    </row>
    <row r="121" spans="1:4">
      <c r="A121" s="6">
        <v>94</v>
      </c>
      <c r="B121" s="6">
        <v>708798.30072281603</v>
      </c>
      <c r="C121" s="6">
        <v>44675.249277184019</v>
      </c>
      <c r="D121" s="6">
        <v>0.93352244668873863</v>
      </c>
    </row>
    <row r="122" spans="1:4">
      <c r="A122" s="6">
        <v>95</v>
      </c>
      <c r="B122" s="6">
        <v>774039.61000620225</v>
      </c>
      <c r="C122" s="6">
        <v>64210.709993797704</v>
      </c>
      <c r="D122" s="6">
        <v>1.3417303779353273</v>
      </c>
    </row>
    <row r="123" spans="1:4">
      <c r="A123" s="6">
        <v>96</v>
      </c>
      <c r="B123" s="6">
        <v>622277.08413821214</v>
      </c>
      <c r="C123" s="6">
        <v>-14378.964138212148</v>
      </c>
      <c r="D123" s="6">
        <v>-0.30045911327480168</v>
      </c>
    </row>
    <row r="124" spans="1:4">
      <c r="A124" s="6">
        <v>97</v>
      </c>
      <c r="B124" s="6">
        <v>684402.13874837046</v>
      </c>
      <c r="C124" s="6">
        <v>6711.4812516295351</v>
      </c>
      <c r="D124" s="6">
        <v>0.1402413752647273</v>
      </c>
    </row>
    <row r="125" spans="1:4">
      <c r="A125" s="6">
        <v>98</v>
      </c>
      <c r="B125" s="6">
        <v>662082.33835508279</v>
      </c>
      <c r="C125" s="6">
        <v>73427.061644917238</v>
      </c>
      <c r="D125" s="6">
        <v>1.5343128767931649</v>
      </c>
    </row>
    <row r="126" spans="1:4">
      <c r="A126" s="6">
        <v>99</v>
      </c>
      <c r="B126" s="6">
        <v>610281.52325340686</v>
      </c>
      <c r="C126" s="6">
        <v>-4506.1932534069056</v>
      </c>
      <c r="D126" s="6">
        <v>-9.4160247994879348E-2</v>
      </c>
    </row>
    <row r="127" spans="1:4">
      <c r="A127" s="6">
        <v>100</v>
      </c>
      <c r="B127" s="6">
        <v>637881.30045458721</v>
      </c>
      <c r="C127" s="6">
        <v>37296.379545412841</v>
      </c>
      <c r="D127" s="6">
        <v>0.77933549446688644</v>
      </c>
    </row>
    <row r="128" spans="1:4">
      <c r="A128" s="6">
        <v>101</v>
      </c>
      <c r="B128" s="6">
        <v>573591.85722221667</v>
      </c>
      <c r="C128" s="6">
        <v>61589.492777783307</v>
      </c>
      <c r="D128" s="6">
        <v>1.2869581013753375</v>
      </c>
    </row>
    <row r="129" spans="1:4">
      <c r="A129" s="6">
        <v>102</v>
      </c>
      <c r="B129" s="6">
        <v>607485.66332538985</v>
      </c>
      <c r="C129" s="6">
        <v>-20858.723325389903</v>
      </c>
      <c r="D129" s="6">
        <v>-0.43585848425172596</v>
      </c>
    </row>
    <row r="130" spans="1:4">
      <c r="A130" s="6">
        <v>103</v>
      </c>
      <c r="B130" s="6">
        <v>719653.57481289178</v>
      </c>
      <c r="C130" s="6">
        <v>20449.065187108237</v>
      </c>
      <c r="D130" s="6">
        <v>0.42729837381603647</v>
      </c>
    </row>
    <row r="131" spans="1:4">
      <c r="A131" s="6">
        <v>104</v>
      </c>
      <c r="B131" s="6">
        <v>514891.48478379007</v>
      </c>
      <c r="C131" s="6">
        <v>110622.55521620996</v>
      </c>
      <c r="D131" s="6">
        <v>2.3115402840546984</v>
      </c>
    </row>
    <row r="132" spans="1:4">
      <c r="A132" s="6">
        <v>105</v>
      </c>
      <c r="B132" s="6">
        <v>718954.26800603489</v>
      </c>
      <c r="C132" s="6">
        <v>8272.9319939650595</v>
      </c>
      <c r="D132" s="6">
        <v>0.17286904586428314</v>
      </c>
    </row>
    <row r="133" spans="1:4">
      <c r="A133" s="6">
        <v>106</v>
      </c>
      <c r="B133" s="6">
        <v>787998.53508703667</v>
      </c>
      <c r="C133" s="6">
        <v>-4200.6450870366534</v>
      </c>
      <c r="D133" s="6">
        <v>-8.7775592588000897E-2</v>
      </c>
    </row>
    <row r="134" spans="1:4">
      <c r="A134" s="6">
        <v>107</v>
      </c>
      <c r="B134" s="6">
        <v>710727.8799442465</v>
      </c>
      <c r="C134" s="6">
        <v>84425.960055753472</v>
      </c>
      <c r="D134" s="6">
        <v>1.7641430114088552</v>
      </c>
    </row>
    <row r="135" spans="1:4">
      <c r="A135" s="6">
        <v>108</v>
      </c>
      <c r="B135" s="6">
        <v>684023.13806358795</v>
      </c>
      <c r="C135" s="6">
        <v>-18428.198063588003</v>
      </c>
      <c r="D135" s="6">
        <v>-0.38507085741480385</v>
      </c>
    </row>
    <row r="136" spans="1:4">
      <c r="A136" s="6">
        <v>109</v>
      </c>
      <c r="B136" s="6">
        <v>710074.97455591417</v>
      </c>
      <c r="C136" s="6">
        <v>-596.58455591415986</v>
      </c>
      <c r="D136" s="6">
        <v>-1.2466076480923563E-2</v>
      </c>
    </row>
    <row r="137" spans="1:4">
      <c r="A137" s="6">
        <v>110</v>
      </c>
      <c r="B137" s="6">
        <v>641717.71048944036</v>
      </c>
      <c r="C137" s="6">
        <v>22444.779510559631</v>
      </c>
      <c r="D137" s="6">
        <v>0.46900030381671753</v>
      </c>
    </row>
    <row r="138" spans="1:4">
      <c r="A138" s="6">
        <v>111</v>
      </c>
      <c r="B138" s="6">
        <v>645292.81717054453</v>
      </c>
      <c r="C138" s="6">
        <v>-11798.607170544565</v>
      </c>
      <c r="D138" s="6">
        <v>-0.24654064188940347</v>
      </c>
    </row>
    <row r="139" spans="1:4">
      <c r="A139" s="6">
        <v>112</v>
      </c>
      <c r="B139" s="6">
        <v>595587.07154807204</v>
      </c>
      <c r="C139" s="6">
        <v>118024.08845192799</v>
      </c>
      <c r="D139" s="6">
        <v>2.4662008069895807</v>
      </c>
    </row>
    <row r="140" spans="1:4">
      <c r="A140" s="6">
        <v>113</v>
      </c>
      <c r="B140" s="6">
        <v>770179.60444179678</v>
      </c>
      <c r="C140" s="6">
        <v>8218.3655582031934</v>
      </c>
      <c r="D140" s="6">
        <v>0.17172883974470554</v>
      </c>
    </row>
    <row r="141" spans="1:4">
      <c r="A141" s="6">
        <v>114</v>
      </c>
      <c r="B141" s="6">
        <v>811809.12660692108</v>
      </c>
      <c r="C141" s="6">
        <v>61570.893393078935</v>
      </c>
      <c r="D141" s="6">
        <v>1.2865694534461811</v>
      </c>
    </row>
    <row r="142" spans="1:4">
      <c r="A142" s="6">
        <v>115</v>
      </c>
      <c r="B142" s="6">
        <v>748464.59572233551</v>
      </c>
      <c r="C142" s="6">
        <v>-51176.695722335484</v>
      </c>
      <c r="D142" s="6">
        <v>-1.0693749889954964</v>
      </c>
    </row>
    <row r="143" spans="1:4">
      <c r="A143" s="6">
        <v>116</v>
      </c>
      <c r="B143" s="6">
        <v>742379.18652536208</v>
      </c>
      <c r="C143" s="6">
        <v>-24304.396525362041</v>
      </c>
      <c r="D143" s="6">
        <v>-0.50785837967862302</v>
      </c>
    </row>
    <row r="144" spans="1:4">
      <c r="A144" s="6">
        <v>117</v>
      </c>
      <c r="B144" s="6">
        <v>710060.88802308042</v>
      </c>
      <c r="C144" s="6">
        <v>4881.5419769196305</v>
      </c>
      <c r="D144" s="6">
        <v>0.10200343777902776</v>
      </c>
    </row>
    <row r="145" spans="1:4">
      <c r="A145" s="6">
        <v>118</v>
      </c>
      <c r="B145" s="6">
        <v>749646.07640429819</v>
      </c>
      <c r="C145" s="6">
        <v>70872.963595701847</v>
      </c>
      <c r="D145" s="6">
        <v>1.4809431049717872</v>
      </c>
    </row>
    <row r="146" spans="1:4">
      <c r="A146" s="6">
        <v>119</v>
      </c>
      <c r="B146" s="6">
        <v>736857.78026991279</v>
      </c>
      <c r="C146" s="6">
        <v>-52640.460269912845</v>
      </c>
      <c r="D146" s="6">
        <v>-1.0999614341511257</v>
      </c>
    </row>
    <row r="147" spans="1:4">
      <c r="A147" s="6">
        <v>120</v>
      </c>
      <c r="B147" s="6">
        <v>719009.66248009726</v>
      </c>
      <c r="C147" s="6">
        <v>16470.52751990268</v>
      </c>
      <c r="D147" s="6">
        <v>0.34416388039016915</v>
      </c>
    </row>
    <row r="148" spans="1:4">
      <c r="A148" s="6">
        <v>121</v>
      </c>
      <c r="B148" s="6">
        <v>575712.08829801157</v>
      </c>
      <c r="C148" s="6">
        <v>-66227.278298011573</v>
      </c>
      <c r="D148" s="6">
        <v>-1.3838680673208927</v>
      </c>
    </row>
    <row r="149" spans="1:4">
      <c r="A149" s="6">
        <v>122</v>
      </c>
      <c r="B149" s="6">
        <v>622702.20254863496</v>
      </c>
      <c r="C149" s="6">
        <v>31614.887451365008</v>
      </c>
      <c r="D149" s="6">
        <v>0.66061650607196443</v>
      </c>
    </row>
    <row r="150" spans="1:4">
      <c r="A150" s="6">
        <v>123</v>
      </c>
      <c r="B150" s="6">
        <v>601645.73356804578</v>
      </c>
      <c r="C150" s="6">
        <v>-44158.473568045767</v>
      </c>
      <c r="D150" s="6">
        <v>-0.9227240352150633</v>
      </c>
    </row>
    <row r="151" spans="1:4">
      <c r="A151" s="6">
        <v>124</v>
      </c>
      <c r="B151" s="6">
        <v>470776.82543624792</v>
      </c>
      <c r="C151" s="6">
        <v>-29501.405436247936</v>
      </c>
      <c r="D151" s="6">
        <v>-0.61645373286518235</v>
      </c>
    </row>
    <row r="152" spans="1:4">
      <c r="A152" s="6">
        <v>125</v>
      </c>
      <c r="B152" s="6">
        <v>812299.43192425638</v>
      </c>
      <c r="C152" s="6">
        <v>102244.73807574366</v>
      </c>
      <c r="D152" s="6">
        <v>2.1364795853139946</v>
      </c>
    </row>
    <row r="153" spans="1:4">
      <c r="A153" s="6">
        <v>126</v>
      </c>
      <c r="B153" s="6">
        <v>811325.21556025825</v>
      </c>
      <c r="C153" s="6">
        <v>31114.454439741792</v>
      </c>
      <c r="D153" s="6">
        <v>0.65015958737598067</v>
      </c>
    </row>
    <row r="154" spans="1:4">
      <c r="A154" s="6">
        <v>127</v>
      </c>
      <c r="B154" s="6">
        <v>771821.39985198283</v>
      </c>
      <c r="C154" s="6">
        <v>70336.520148017211</v>
      </c>
      <c r="D154" s="6">
        <v>1.4697337215235686</v>
      </c>
    </row>
    <row r="155" spans="1:4">
      <c r="A155" s="6">
        <v>128</v>
      </c>
      <c r="B155" s="6">
        <v>714712.2953581257</v>
      </c>
      <c r="C155" s="6">
        <v>-17556.995358125656</v>
      </c>
      <c r="D155" s="6">
        <v>-0.36686643115365236</v>
      </c>
    </row>
    <row r="156" spans="1:4">
      <c r="A156" s="6">
        <v>129</v>
      </c>
      <c r="B156" s="6">
        <v>823425.34091719228</v>
      </c>
      <c r="C156" s="6">
        <v>25592.959082807763</v>
      </c>
      <c r="D156" s="6">
        <v>0.53478384939172785</v>
      </c>
    </row>
    <row r="157" spans="1:4">
      <c r="A157" s="6">
        <v>130</v>
      </c>
      <c r="B157" s="6">
        <v>819388.08039829205</v>
      </c>
      <c r="C157" s="6">
        <v>-17557.730398292071</v>
      </c>
      <c r="D157" s="6">
        <v>-0.36688179036273721</v>
      </c>
    </row>
    <row r="158" spans="1:4">
      <c r="A158" s="6">
        <v>131</v>
      </c>
      <c r="B158" s="6">
        <v>772067.72180727171</v>
      </c>
      <c r="C158" s="6">
        <v>-46832.44180727168</v>
      </c>
      <c r="D158" s="6">
        <v>-0.97859858350381757</v>
      </c>
    </row>
    <row r="159" spans="1:4">
      <c r="A159" s="6">
        <v>132</v>
      </c>
      <c r="B159" s="6">
        <v>835669.68691974832</v>
      </c>
      <c r="C159" s="6">
        <v>-24216.966919748345</v>
      </c>
      <c r="D159" s="6">
        <v>-0.50603147326699582</v>
      </c>
    </row>
    <row r="160" spans="1:4">
      <c r="A160" s="6">
        <v>133</v>
      </c>
      <c r="B160" s="6">
        <v>579330.88028028875</v>
      </c>
      <c r="C160" s="6">
        <v>-52030.750280288747</v>
      </c>
      <c r="D160" s="6">
        <v>-1.0872210920043357</v>
      </c>
    </row>
    <row r="161" spans="1:4">
      <c r="A161" s="6">
        <v>134</v>
      </c>
      <c r="B161" s="6">
        <v>472882.06450583047</v>
      </c>
      <c r="C161" s="6">
        <v>-72050.414505830442</v>
      </c>
      <c r="D161" s="6">
        <v>-1.5055468144588764</v>
      </c>
    </row>
    <row r="162" spans="1:4">
      <c r="A162" s="6">
        <v>135</v>
      </c>
      <c r="B162" s="6">
        <v>577544.90982965683</v>
      </c>
      <c r="C162" s="6">
        <v>15702.340170343174</v>
      </c>
      <c r="D162" s="6">
        <v>0.32811203634500641</v>
      </c>
    </row>
    <row r="163" spans="1:4">
      <c r="A163" s="6">
        <v>136</v>
      </c>
      <c r="B163" s="6">
        <v>534062.08478965738</v>
      </c>
      <c r="C163" s="6">
        <v>-4986.1347896574298</v>
      </c>
      <c r="D163" s="6">
        <v>-0.10418898212478507</v>
      </c>
    </row>
    <row r="164" spans="1:4">
      <c r="A164" s="6">
        <v>137</v>
      </c>
      <c r="B164" s="6">
        <v>745885.75903956871</v>
      </c>
      <c r="C164" s="6">
        <v>-112247.72903956869</v>
      </c>
      <c r="D164" s="6">
        <v>-2.3454994956634212</v>
      </c>
    </row>
    <row r="165" spans="1:4">
      <c r="A165" s="6">
        <v>138</v>
      </c>
      <c r="B165" s="6">
        <v>692270.11196989357</v>
      </c>
      <c r="C165" s="6">
        <v>51078.728030106402</v>
      </c>
      <c r="D165" s="6">
        <v>1.0673278814532707</v>
      </c>
    </row>
    <row r="166" spans="1:4">
      <c r="A166" s="6">
        <v>139</v>
      </c>
      <c r="B166" s="6">
        <v>689810.62489300163</v>
      </c>
      <c r="C166" s="6">
        <v>69017.015106998384</v>
      </c>
      <c r="D166" s="6">
        <v>1.4421616856818098</v>
      </c>
    </row>
    <row r="167" spans="1:4">
      <c r="A167" s="6">
        <v>140</v>
      </c>
      <c r="B167" s="6">
        <v>621410.31119303626</v>
      </c>
      <c r="C167" s="6">
        <v>25149.398806963698</v>
      </c>
      <c r="D167" s="6">
        <v>0.52551532866359951</v>
      </c>
    </row>
    <row r="168" spans="1:4">
      <c r="A168" s="6">
        <v>141</v>
      </c>
      <c r="B168" s="6">
        <v>668185.55658928177</v>
      </c>
      <c r="C168" s="6">
        <v>47704.973410718259</v>
      </c>
      <c r="D168" s="6">
        <v>0.99683077807332121</v>
      </c>
    </row>
    <row r="169" spans="1:4">
      <c r="A169" s="6">
        <v>142</v>
      </c>
      <c r="B169" s="6">
        <v>688329.64290619222</v>
      </c>
      <c r="C169" s="6">
        <v>26767.927093807724</v>
      </c>
      <c r="D169" s="6">
        <v>0.55933567686121355</v>
      </c>
    </row>
    <row r="170" spans="1:4">
      <c r="A170" s="6">
        <v>143</v>
      </c>
      <c r="B170" s="6">
        <v>648137.25374256889</v>
      </c>
      <c r="C170" s="6">
        <v>34502.026257431135</v>
      </c>
      <c r="D170" s="6">
        <v>0.72094541135566292</v>
      </c>
    </row>
    <row r="171" spans="1:4">
      <c r="A171" s="6">
        <v>144</v>
      </c>
      <c r="B171" s="6">
        <v>660044.10478721361</v>
      </c>
      <c r="C171" s="6">
        <v>35054.405212786398</v>
      </c>
      <c r="D171" s="6">
        <v>0.73248777904796736</v>
      </c>
    </row>
    <row r="172" spans="1:4">
      <c r="A172" s="6">
        <v>145</v>
      </c>
      <c r="B172" s="6">
        <v>614195.2293791573</v>
      </c>
      <c r="C172" s="6">
        <v>-36462.659379157354</v>
      </c>
      <c r="D172" s="6">
        <v>-0.76191429364430829</v>
      </c>
    </row>
    <row r="173" spans="1:4">
      <c r="A173" s="6">
        <v>146</v>
      </c>
      <c r="B173" s="6">
        <v>562640.79000531661</v>
      </c>
      <c r="C173" s="6">
        <v>-25582.46000531665</v>
      </c>
      <c r="D173" s="6">
        <v>-0.5345644633856943</v>
      </c>
    </row>
    <row r="174" spans="1:4">
      <c r="A174" s="6">
        <v>147</v>
      </c>
      <c r="B174" s="6">
        <v>594073.63665160397</v>
      </c>
      <c r="C174" s="6">
        <v>7495.2333483960247</v>
      </c>
      <c r="D174" s="6">
        <v>0.15661845623928253</v>
      </c>
    </row>
    <row r="175" spans="1:4">
      <c r="A175" s="6">
        <v>148</v>
      </c>
      <c r="B175" s="6">
        <v>575743.79376626504</v>
      </c>
      <c r="C175" s="6">
        <v>-4778.9537662650691</v>
      </c>
      <c r="D175" s="6">
        <v>-9.9859781079599447E-2</v>
      </c>
    </row>
    <row r="176" spans="1:4">
      <c r="A176" s="6">
        <v>149</v>
      </c>
      <c r="B176" s="6">
        <v>637620.73015109519</v>
      </c>
      <c r="C176" s="6">
        <v>-23595.820151095162</v>
      </c>
      <c r="D176" s="6">
        <v>-0.49305215114551731</v>
      </c>
    </row>
    <row r="177" spans="1:4">
      <c r="A177" s="6">
        <v>150</v>
      </c>
      <c r="B177" s="6">
        <v>669511.12365382875</v>
      </c>
      <c r="C177" s="6">
        <v>43357.226346171228</v>
      </c>
      <c r="D177" s="6">
        <v>0.90598138063408762</v>
      </c>
    </row>
    <row r="178" spans="1:4">
      <c r="A178" s="6">
        <v>151</v>
      </c>
      <c r="B178" s="6">
        <v>635246.10839179822</v>
      </c>
      <c r="C178" s="6">
        <v>61498.041608201806</v>
      </c>
      <c r="D178" s="6">
        <v>1.2850471614038426</v>
      </c>
    </row>
    <row r="179" spans="1:4">
      <c r="A179" s="6">
        <v>152</v>
      </c>
      <c r="B179" s="6">
        <v>666940.57617454161</v>
      </c>
      <c r="C179" s="6">
        <v>58907.413825458381</v>
      </c>
      <c r="D179" s="6">
        <v>1.2309140737247648</v>
      </c>
    </row>
    <row r="180" spans="1:4">
      <c r="A180" s="6">
        <v>153</v>
      </c>
      <c r="B180" s="6">
        <v>794279.7139504638</v>
      </c>
      <c r="C180" s="6">
        <v>-9251.4639504638035</v>
      </c>
      <c r="D180" s="6">
        <v>-0.19331619637767375</v>
      </c>
    </row>
    <row r="181" spans="1:4">
      <c r="A181" s="6">
        <v>154</v>
      </c>
      <c r="B181" s="6">
        <v>688736.08959228545</v>
      </c>
      <c r="C181" s="6">
        <v>9756.5804077145876</v>
      </c>
      <c r="D181" s="6">
        <v>0.20387097914138891</v>
      </c>
    </row>
    <row r="182" spans="1:4">
      <c r="A182" s="6">
        <v>155</v>
      </c>
      <c r="B182" s="6">
        <v>718149.05793342355</v>
      </c>
      <c r="C182" s="6">
        <v>-32318.817933423561</v>
      </c>
      <c r="D182" s="6">
        <v>-0.67532565524386812</v>
      </c>
    </row>
    <row r="183" spans="1:4">
      <c r="A183" s="6">
        <v>156</v>
      </c>
      <c r="B183" s="6">
        <v>694470.61831812246</v>
      </c>
      <c r="C183" s="6">
        <v>7848.3216818774818</v>
      </c>
      <c r="D183" s="6">
        <v>0.16399649867445246</v>
      </c>
    </row>
    <row r="184" spans="1:4">
      <c r="A184" s="6">
        <v>157</v>
      </c>
      <c r="B184" s="6">
        <v>713653.43301528017</v>
      </c>
      <c r="C184" s="6">
        <v>-13575.113015280222</v>
      </c>
      <c r="D184" s="6">
        <v>-0.28366204825123514</v>
      </c>
    </row>
    <row r="185" spans="1:4">
      <c r="A185" s="6">
        <v>158</v>
      </c>
      <c r="B185" s="6">
        <v>623021.52143490477</v>
      </c>
      <c r="C185" s="6">
        <v>-21019.201434904826</v>
      </c>
      <c r="D185" s="6">
        <v>-0.43921179329550702</v>
      </c>
    </row>
    <row r="186" spans="1:4">
      <c r="A186" s="6">
        <v>159</v>
      </c>
      <c r="B186" s="6">
        <v>690458.19211826846</v>
      </c>
      <c r="C186" s="6">
        <v>33757.877881731489</v>
      </c>
      <c r="D186" s="6">
        <v>0.70539587948685334</v>
      </c>
    </row>
    <row r="187" spans="1:4">
      <c r="A187" s="6">
        <v>160</v>
      </c>
      <c r="B187" s="6">
        <v>545741.70489860745</v>
      </c>
      <c r="C187" s="6">
        <v>75231.325101392576</v>
      </c>
      <c r="D187" s="6">
        <v>1.5720142990260819</v>
      </c>
    </row>
    <row r="188" spans="1:4">
      <c r="A188" s="6">
        <v>161</v>
      </c>
      <c r="B188" s="6">
        <v>686117.58189425175</v>
      </c>
      <c r="C188" s="6">
        <v>-35637.521894251695</v>
      </c>
      <c r="D188" s="6">
        <v>-0.74467243430996954</v>
      </c>
    </row>
    <row r="189" spans="1:4">
      <c r="A189" s="6">
        <v>162</v>
      </c>
      <c r="B189" s="6">
        <v>691021.91730953066</v>
      </c>
      <c r="C189" s="6">
        <v>87276.962690469343</v>
      </c>
      <c r="D189" s="6">
        <v>1.8237168246082642</v>
      </c>
    </row>
    <row r="190" spans="1:4">
      <c r="A190" s="6">
        <v>163</v>
      </c>
      <c r="B190" s="6">
        <v>721951.47204628156</v>
      </c>
      <c r="C190" s="6">
        <v>-44854.762046281598</v>
      </c>
      <c r="D190" s="6">
        <v>-0.93727349905288115</v>
      </c>
    </row>
    <row r="191" spans="1:4">
      <c r="A191" s="6">
        <v>164</v>
      </c>
      <c r="B191" s="6">
        <v>676908.12206759281</v>
      </c>
      <c r="C191" s="6">
        <v>15100.517932407209</v>
      </c>
      <c r="D191" s="6">
        <v>0.31553651461609694</v>
      </c>
    </row>
    <row r="192" spans="1:4">
      <c r="A192" s="6">
        <v>165</v>
      </c>
      <c r="B192" s="6">
        <v>785342.17396988242</v>
      </c>
      <c r="C192" s="6">
        <v>40455.736030117609</v>
      </c>
      <c r="D192" s="6">
        <v>0.84535258991194251</v>
      </c>
    </row>
    <row r="193" spans="1:4">
      <c r="A193" s="6">
        <v>166</v>
      </c>
      <c r="B193" s="6">
        <v>728513.37619696674</v>
      </c>
      <c r="C193" s="6">
        <v>-22227.856196966721</v>
      </c>
      <c r="D193" s="6">
        <v>-0.46446753039686106</v>
      </c>
    </row>
    <row r="194" spans="1:4">
      <c r="A194" s="6">
        <v>167</v>
      </c>
      <c r="B194" s="6">
        <v>663651.51771364512</v>
      </c>
      <c r="C194" s="6">
        <v>1883.1822863548296</v>
      </c>
      <c r="D194" s="6">
        <v>3.9350489677439211E-2</v>
      </c>
    </row>
    <row r="195" spans="1:4">
      <c r="A195" s="6">
        <v>168</v>
      </c>
      <c r="B195" s="6">
        <v>799160.39660130639</v>
      </c>
      <c r="C195" s="6">
        <v>21568.893398693646</v>
      </c>
      <c r="D195" s="6">
        <v>0.45069801430744771</v>
      </c>
    </row>
    <row r="196" spans="1:4">
      <c r="A196" s="6">
        <v>169</v>
      </c>
      <c r="B196" s="6">
        <v>777434.14712334343</v>
      </c>
      <c r="C196" s="6">
        <v>-37602.417123343446</v>
      </c>
      <c r="D196" s="6">
        <v>-0.78573037649106758</v>
      </c>
    </row>
    <row r="197" spans="1:4">
      <c r="A197" s="6">
        <v>170</v>
      </c>
      <c r="B197" s="6">
        <v>687116.27799482737</v>
      </c>
      <c r="C197" s="6">
        <v>-93479.137994827353</v>
      </c>
      <c r="D197" s="6">
        <v>-1.9533158746100667</v>
      </c>
    </row>
    <row r="198" spans="1:4">
      <c r="A198" s="6">
        <v>171</v>
      </c>
      <c r="B198" s="6">
        <v>748529.77497078094</v>
      </c>
      <c r="C198" s="6">
        <v>21172.985029219068</v>
      </c>
      <c r="D198" s="6">
        <v>0.44242521548223307</v>
      </c>
    </row>
    <row r="199" spans="1:4">
      <c r="A199" s="6">
        <v>172</v>
      </c>
      <c r="B199" s="6">
        <v>692913.22586685873</v>
      </c>
      <c r="C199" s="6">
        <v>-13181.655866858782</v>
      </c>
      <c r="D199" s="6">
        <v>-0.27544046950675705</v>
      </c>
    </row>
    <row r="200" spans="1:4">
      <c r="A200" s="6">
        <v>173</v>
      </c>
      <c r="B200" s="6">
        <v>757943.74482893676</v>
      </c>
      <c r="C200" s="6">
        <v>22400.435171063291</v>
      </c>
      <c r="D200" s="6">
        <v>0.46807369597516796</v>
      </c>
    </row>
    <row r="201" spans="1:4">
      <c r="A201" s="6">
        <v>174</v>
      </c>
      <c r="B201" s="6">
        <v>762436.87158584979</v>
      </c>
      <c r="C201" s="6">
        <v>-41072.761585849803</v>
      </c>
      <c r="D201" s="6">
        <v>-0.85824579623481723</v>
      </c>
    </row>
    <row r="202" spans="1:4">
      <c r="A202" s="6">
        <v>175</v>
      </c>
      <c r="B202" s="6">
        <v>800383.36662569758</v>
      </c>
      <c r="C202" s="6">
        <v>-42245.076625697548</v>
      </c>
      <c r="D202" s="6">
        <v>-0.88274218790571013</v>
      </c>
    </row>
    <row r="203" spans="1:4">
      <c r="A203" s="6">
        <v>176</v>
      </c>
      <c r="B203" s="6">
        <v>811022.0980688635</v>
      </c>
      <c r="C203" s="6">
        <v>-6758.0980688635027</v>
      </c>
      <c r="D203" s="6">
        <v>-0.14121546821295222</v>
      </c>
    </row>
    <row r="204" spans="1:4">
      <c r="A204" s="6">
        <v>177</v>
      </c>
      <c r="B204" s="6">
        <v>902282.11253843817</v>
      </c>
      <c r="C204" s="6">
        <v>-14744.362538438174</v>
      </c>
      <c r="D204" s="6">
        <v>-0.30809438367875119</v>
      </c>
    </row>
    <row r="205" spans="1:4">
      <c r="A205" s="6">
        <v>178</v>
      </c>
      <c r="B205" s="6">
        <v>698440.43725437729</v>
      </c>
      <c r="C205" s="6">
        <v>85141.562745622708</v>
      </c>
      <c r="D205" s="6">
        <v>1.7790960600143375</v>
      </c>
    </row>
    <row r="206" spans="1:4">
      <c r="A206" s="6">
        <v>179</v>
      </c>
      <c r="B206" s="6">
        <v>754882.49086245778</v>
      </c>
      <c r="C206" s="6">
        <v>27073.029137542238</v>
      </c>
      <c r="D206" s="6">
        <v>0.56571101020495462</v>
      </c>
    </row>
    <row r="207" spans="1:4">
      <c r="A207" s="6">
        <v>180</v>
      </c>
      <c r="B207" s="6">
        <v>834328.31376793189</v>
      </c>
      <c r="C207" s="6">
        <v>63702.726232068148</v>
      </c>
      <c r="D207" s="6">
        <v>1.3311156807192983</v>
      </c>
    </row>
    <row r="208" spans="1:4">
      <c r="A208" s="6">
        <v>181</v>
      </c>
      <c r="B208" s="6">
        <v>866888.80664809712</v>
      </c>
      <c r="C208" s="6">
        <v>-11547.526648097089</v>
      </c>
      <c r="D208" s="6">
        <v>-0.24129412827340094</v>
      </c>
    </row>
    <row r="209" spans="1:4">
      <c r="A209" s="6">
        <v>182</v>
      </c>
      <c r="B209" s="6">
        <v>765340.13071255141</v>
      </c>
      <c r="C209" s="6">
        <v>-13946.250712551409</v>
      </c>
      <c r="D209" s="6">
        <v>-0.29141724552087783</v>
      </c>
    </row>
    <row r="210" spans="1:4">
      <c r="A210" s="6">
        <v>183</v>
      </c>
      <c r="B210" s="6">
        <v>805691.18397890218</v>
      </c>
      <c r="C210" s="6">
        <v>-44614.103978902218</v>
      </c>
      <c r="D210" s="6">
        <v>-0.93224477036059128</v>
      </c>
    </row>
    <row r="211" spans="1:4">
      <c r="A211" s="6">
        <v>184</v>
      </c>
      <c r="B211" s="6">
        <v>834923.35338050581</v>
      </c>
      <c r="C211" s="6">
        <v>-15262.763380505843</v>
      </c>
      <c r="D211" s="6">
        <v>-0.31892675350952598</v>
      </c>
    </row>
    <row r="212" spans="1:4">
      <c r="A212" s="6">
        <v>185</v>
      </c>
      <c r="B212" s="6">
        <v>683915.79388460307</v>
      </c>
      <c r="C212" s="6">
        <v>-2060.2338846030179</v>
      </c>
      <c r="D212" s="6">
        <v>-4.3050114052477918E-2</v>
      </c>
    </row>
    <row r="213" spans="1:4">
      <c r="A213" s="6">
        <v>186</v>
      </c>
      <c r="B213" s="6">
        <v>631279.093706007</v>
      </c>
      <c r="C213" s="6">
        <v>47032.076293993043</v>
      </c>
      <c r="D213" s="6">
        <v>0.98277009407181237</v>
      </c>
    </row>
    <row r="214" spans="1:4">
      <c r="A214" s="6">
        <v>187</v>
      </c>
      <c r="B214" s="6">
        <v>671659.45836138364</v>
      </c>
      <c r="C214" s="6">
        <v>94247.49163861631</v>
      </c>
      <c r="D214" s="6">
        <v>1.9693711934964102</v>
      </c>
    </row>
    <row r="215" spans="1:4">
      <c r="A215" s="6">
        <v>188</v>
      </c>
      <c r="B215" s="6">
        <v>744954.38282641978</v>
      </c>
      <c r="C215" s="6">
        <v>-32408.002826419775</v>
      </c>
      <c r="D215" s="6">
        <v>-0.67718923968636213</v>
      </c>
    </row>
    <row r="216" spans="1:4">
      <c r="A216" s="6">
        <v>189</v>
      </c>
      <c r="B216" s="6">
        <v>603421.15500323405</v>
      </c>
      <c r="C216" s="6">
        <v>22572.674996765913</v>
      </c>
      <c r="D216" s="6">
        <v>0.47167277479640851</v>
      </c>
    </row>
    <row r="217" spans="1:4">
      <c r="A217" s="6">
        <v>190</v>
      </c>
      <c r="B217" s="6">
        <v>540174.06532746181</v>
      </c>
      <c r="C217" s="6">
        <v>10788.864672538242</v>
      </c>
      <c r="D217" s="6">
        <v>0.22544132397813527</v>
      </c>
    </row>
    <row r="218" spans="1:4">
      <c r="A218" s="6">
        <v>191</v>
      </c>
      <c r="B218" s="6">
        <v>466761.38971965393</v>
      </c>
      <c r="C218" s="6">
        <v>-23485.799719653907</v>
      </c>
      <c r="D218" s="6">
        <v>-0.490753192684031</v>
      </c>
    </row>
    <row r="219" spans="1:4">
      <c r="A219" s="6">
        <v>192</v>
      </c>
      <c r="B219" s="6">
        <v>598758.02773128334</v>
      </c>
      <c r="C219" s="6">
        <v>-44745.957731283386</v>
      </c>
      <c r="D219" s="6">
        <v>-0.93499995224585097</v>
      </c>
    </row>
    <row r="220" spans="1:4">
      <c r="A220" s="6">
        <v>193</v>
      </c>
      <c r="B220" s="6">
        <v>700537.49887354765</v>
      </c>
      <c r="C220" s="6">
        <v>-57108.648873547674</v>
      </c>
      <c r="D220" s="6">
        <v>-1.193327546820186</v>
      </c>
    </row>
    <row r="221" spans="1:4">
      <c r="A221" s="6">
        <v>194</v>
      </c>
      <c r="B221" s="6">
        <v>632424.67772512883</v>
      </c>
      <c r="C221" s="6">
        <v>-20500.407725128811</v>
      </c>
      <c r="D221" s="6">
        <v>-0.42837121420277502</v>
      </c>
    </row>
    <row r="222" spans="1:4">
      <c r="A222" s="6">
        <v>195</v>
      </c>
      <c r="B222" s="6">
        <v>579529.2231825029</v>
      </c>
      <c r="C222" s="6">
        <v>-20107.203182502883</v>
      </c>
      <c r="D222" s="6">
        <v>-0.42015491384362413</v>
      </c>
    </row>
    <row r="223" spans="1:4">
      <c r="A223" s="6">
        <v>196</v>
      </c>
      <c r="B223" s="6">
        <v>547015.96087993577</v>
      </c>
      <c r="C223" s="6">
        <v>-97550.900879935769</v>
      </c>
      <c r="D223" s="6">
        <v>-2.0383983780620185</v>
      </c>
    </row>
    <row r="224" spans="1:4">
      <c r="A224" s="6">
        <v>197</v>
      </c>
      <c r="B224" s="6">
        <v>644119.45895451575</v>
      </c>
      <c r="C224" s="6">
        <v>47327.971045484301</v>
      </c>
      <c r="D224" s="6">
        <v>0.98895303421973779</v>
      </c>
    </row>
    <row r="225" spans="1:4">
      <c r="A225" s="6">
        <v>198</v>
      </c>
      <c r="B225" s="6">
        <v>609830.0913451761</v>
      </c>
      <c r="C225" s="6">
        <v>-35763.481345176115</v>
      </c>
      <c r="D225" s="6">
        <v>-0.74730445039746762</v>
      </c>
    </row>
    <row r="226" spans="1:4">
      <c r="A226" s="6">
        <v>199</v>
      </c>
      <c r="B226" s="6">
        <v>609294.93056210002</v>
      </c>
      <c r="C226" s="6">
        <v>-30345.090562100057</v>
      </c>
      <c r="D226" s="6">
        <v>-0.63408315890450384</v>
      </c>
    </row>
    <row r="227" spans="1:4">
      <c r="A227" s="6">
        <v>200</v>
      </c>
      <c r="B227" s="6">
        <v>644468.57750868099</v>
      </c>
      <c r="C227" s="6">
        <v>91318.062491319026</v>
      </c>
      <c r="D227" s="6">
        <v>1.908158600187325</v>
      </c>
    </row>
    <row r="228" spans="1:4">
      <c r="A228" s="6">
        <v>201</v>
      </c>
      <c r="B228" s="6">
        <v>618613.30020958174</v>
      </c>
      <c r="C228" s="6">
        <v>-19708.400209581712</v>
      </c>
      <c r="D228" s="6">
        <v>-0.41182163013392925</v>
      </c>
    </row>
    <row r="229" spans="1:4">
      <c r="A229" s="6">
        <v>202</v>
      </c>
      <c r="B229" s="6">
        <v>694264.52827036101</v>
      </c>
      <c r="C229" s="6">
        <v>93450.981729638996</v>
      </c>
      <c r="D229" s="6">
        <v>1.9527275285796917</v>
      </c>
    </row>
    <row r="230" spans="1:4">
      <c r="A230" s="6">
        <v>203</v>
      </c>
      <c r="B230" s="6">
        <v>672920.3907789744</v>
      </c>
      <c r="C230" s="6">
        <v>-65835.470778974355</v>
      </c>
      <c r="D230" s="6">
        <v>-1.375680958805094</v>
      </c>
    </row>
    <row r="231" spans="1:4">
      <c r="A231" s="6">
        <v>204</v>
      </c>
      <c r="B231" s="6">
        <v>667813.4776217438</v>
      </c>
      <c r="C231" s="6">
        <v>-17017.987621743814</v>
      </c>
      <c r="D231" s="6">
        <v>-0.35560346499246942</v>
      </c>
    </row>
    <row r="232" spans="1:4">
      <c r="A232" s="6">
        <v>205</v>
      </c>
      <c r="B232" s="6">
        <v>820865.03577741864</v>
      </c>
      <c r="C232" s="6">
        <v>4195.4842225813773</v>
      </c>
      <c r="D232" s="6">
        <v>8.7667752500004373E-2</v>
      </c>
    </row>
    <row r="233" spans="1:4">
      <c r="A233" s="6">
        <v>206</v>
      </c>
      <c r="B233" s="6">
        <v>720863.16134989948</v>
      </c>
      <c r="C233" s="6">
        <v>74601.308650100487</v>
      </c>
      <c r="D233" s="6">
        <v>1.558849638311705</v>
      </c>
    </row>
    <row r="234" spans="1:4">
      <c r="A234" s="6">
        <v>207</v>
      </c>
      <c r="B234" s="6">
        <v>745840.55207327008</v>
      </c>
      <c r="C234" s="6">
        <v>-73971.962073270115</v>
      </c>
      <c r="D234" s="6">
        <v>-1.5456989751207126</v>
      </c>
    </row>
    <row r="235" spans="1:4">
      <c r="A235" s="6">
        <v>208</v>
      </c>
      <c r="B235" s="6">
        <v>736835.48676057649</v>
      </c>
      <c r="C235" s="6">
        <v>-60917.856760576484</v>
      </c>
      <c r="D235" s="6">
        <v>-1.2729237689829853</v>
      </c>
    </row>
    <row r="236" spans="1:4">
      <c r="A236" s="6">
        <v>209</v>
      </c>
      <c r="B236" s="6">
        <v>807685.50590268848</v>
      </c>
      <c r="C236" s="6">
        <v>2761.0240973115433</v>
      </c>
      <c r="D236" s="6">
        <v>5.7693644968762933E-2</v>
      </c>
    </row>
    <row r="237" spans="1:4">
      <c r="A237" s="6">
        <v>210</v>
      </c>
      <c r="B237" s="6">
        <v>778166.99716798542</v>
      </c>
      <c r="C237" s="6">
        <v>-86878.807167985477</v>
      </c>
      <c r="D237" s="6">
        <v>-1.8153970698553434</v>
      </c>
    </row>
    <row r="238" spans="1:4">
      <c r="A238" s="6">
        <v>211</v>
      </c>
      <c r="B238" s="6">
        <v>956479.59241207002</v>
      </c>
      <c r="C238" s="6">
        <v>-9646.0524120699847</v>
      </c>
      <c r="D238" s="6">
        <v>-0.20156141474966996</v>
      </c>
    </row>
    <row r="239" spans="1:4">
      <c r="A239" s="6">
        <v>212</v>
      </c>
      <c r="B239" s="6">
        <v>779535.60019891907</v>
      </c>
      <c r="C239" s="6">
        <v>-17572.370198919089</v>
      </c>
      <c r="D239" s="6">
        <v>-0.36718769984777616</v>
      </c>
    </row>
    <row r="240" spans="1:4">
      <c r="A240" s="6">
        <v>213</v>
      </c>
      <c r="B240" s="6">
        <v>783544.6402106348</v>
      </c>
      <c r="C240" s="6">
        <v>28607.959789365181</v>
      </c>
      <c r="D240" s="6">
        <v>0.5977845238567091</v>
      </c>
    </row>
    <row r="241" spans="1:4">
      <c r="A241" s="6">
        <v>214</v>
      </c>
      <c r="B241" s="6">
        <v>764882.55475451984</v>
      </c>
      <c r="C241" s="6">
        <v>40092.945245480165</v>
      </c>
      <c r="D241" s="6">
        <v>0.83777180756846625</v>
      </c>
    </row>
    <row r="242" spans="1:4">
      <c r="A242" s="6">
        <v>215</v>
      </c>
      <c r="B242" s="6">
        <v>778533.41821393953</v>
      </c>
      <c r="C242" s="6">
        <v>-26211.698213939555</v>
      </c>
      <c r="D242" s="6">
        <v>-0.54771286214266968</v>
      </c>
    </row>
    <row r="243" spans="1:4">
      <c r="A243" s="6">
        <v>216</v>
      </c>
      <c r="B243" s="6">
        <v>832305.77385166881</v>
      </c>
      <c r="C243" s="6">
        <v>4602.4661483311793</v>
      </c>
      <c r="D243" s="6">
        <v>9.6171941491247026E-2</v>
      </c>
    </row>
    <row r="244" spans="1:4">
      <c r="A244" s="6">
        <v>217</v>
      </c>
      <c r="B244" s="6">
        <v>652832.89315070689</v>
      </c>
      <c r="C244" s="6">
        <v>21456.206849293085</v>
      </c>
      <c r="D244" s="6">
        <v>0.44834334533509013</v>
      </c>
    </row>
    <row r="245" spans="1:4">
      <c r="A245" s="6">
        <v>218</v>
      </c>
      <c r="B245" s="6">
        <v>589416.30470322585</v>
      </c>
      <c r="C245" s="6">
        <v>33476.115296774195</v>
      </c>
      <c r="D245" s="6">
        <v>0.69950824143333701</v>
      </c>
    </row>
    <row r="246" spans="1:4">
      <c r="A246" s="6">
        <v>219</v>
      </c>
      <c r="B246" s="6">
        <v>600771.31896567263</v>
      </c>
      <c r="C246" s="6">
        <v>72577.241034327424</v>
      </c>
      <c r="D246" s="6">
        <v>1.5165552452526627</v>
      </c>
    </row>
    <row r="247" spans="1:4">
      <c r="A247" s="6">
        <v>220</v>
      </c>
      <c r="B247" s="6">
        <v>568198.06603688269</v>
      </c>
      <c r="C247" s="6">
        <v>38080.233963117353</v>
      </c>
      <c r="D247" s="6">
        <v>0.79571471351328138</v>
      </c>
    </row>
    <row r="248" spans="1:4">
      <c r="A248" s="6">
        <v>221</v>
      </c>
      <c r="B248" s="6">
        <v>696745.94540503353</v>
      </c>
      <c r="C248" s="6">
        <v>15473.864594966522</v>
      </c>
      <c r="D248" s="6">
        <v>0.32333786985270757</v>
      </c>
    </row>
    <row r="249" spans="1:4">
      <c r="A249" s="6">
        <v>222</v>
      </c>
      <c r="B249" s="6">
        <v>675901.59374685993</v>
      </c>
      <c r="C249" s="6">
        <v>-3231.0537468598923</v>
      </c>
      <c r="D249" s="6">
        <v>-6.7515262879392371E-2</v>
      </c>
    </row>
    <row r="250" spans="1:4">
      <c r="A250" s="6">
        <v>223</v>
      </c>
      <c r="B250" s="6">
        <v>734637.68708096631</v>
      </c>
      <c r="C250" s="6">
        <v>-1969.7670809662668</v>
      </c>
      <c r="D250" s="6">
        <v>-4.1159743137005031E-2</v>
      </c>
    </row>
    <row r="251" spans="1:4">
      <c r="A251" s="6">
        <v>224</v>
      </c>
      <c r="B251" s="6">
        <v>779267.67089512723</v>
      </c>
      <c r="C251" s="6">
        <v>-55736.270895127207</v>
      </c>
      <c r="D251" s="6">
        <v>-1.1646506917622983</v>
      </c>
    </row>
    <row r="252" spans="1:4">
      <c r="A252" s="6">
        <v>225</v>
      </c>
      <c r="B252" s="6">
        <v>622497.45226846961</v>
      </c>
      <c r="C252" s="6">
        <v>19067.147731530364</v>
      </c>
      <c r="D252" s="6">
        <v>0.398422184312338</v>
      </c>
    </row>
    <row r="253" spans="1:4">
      <c r="A253" s="6">
        <v>226</v>
      </c>
      <c r="B253" s="6">
        <v>554816.24351644691</v>
      </c>
      <c r="C253" s="6">
        <v>-18270.753516446915</v>
      </c>
      <c r="D253" s="6">
        <v>-0.38178093690528336</v>
      </c>
    </row>
    <row r="254" spans="1:4">
      <c r="A254" s="6">
        <v>227</v>
      </c>
      <c r="B254" s="6">
        <v>567902.54907259671</v>
      </c>
      <c r="C254" s="6">
        <v>-40220.989072596654</v>
      </c>
      <c r="D254" s="6">
        <v>-0.84044737824142546</v>
      </c>
    </row>
    <row r="255" spans="1:4">
      <c r="A255" s="6">
        <v>228</v>
      </c>
      <c r="B255" s="6">
        <v>486914.45440305717</v>
      </c>
      <c r="C255" s="6">
        <v>42684.485596942774</v>
      </c>
      <c r="D255" s="6">
        <v>0.89192396404732233</v>
      </c>
    </row>
    <row r="256" spans="1:4">
      <c r="A256" s="6">
        <v>229</v>
      </c>
      <c r="B256" s="6">
        <v>640361.9656184091</v>
      </c>
      <c r="C256" s="6">
        <v>-69398.655618409044</v>
      </c>
      <c r="D256" s="6">
        <v>-1.4501363470375233</v>
      </c>
    </row>
    <row r="257" spans="1:4">
      <c r="A257" s="6">
        <v>230</v>
      </c>
      <c r="B257" s="6">
        <v>816512.81975268247</v>
      </c>
      <c r="C257" s="6">
        <v>54424.580247317557</v>
      </c>
      <c r="D257" s="6">
        <v>1.1372419434586294</v>
      </c>
    </row>
    <row r="258" spans="1:4">
      <c r="A258" s="6">
        <v>231</v>
      </c>
      <c r="B258" s="6">
        <v>646697.90033081966</v>
      </c>
      <c r="C258" s="6">
        <v>-49728.630330819637</v>
      </c>
      <c r="D258" s="6">
        <v>-1.0391165893418983</v>
      </c>
    </row>
    <row r="259" spans="1:4">
      <c r="A259" s="6">
        <v>232</v>
      </c>
      <c r="B259" s="6">
        <v>616778.33238736866</v>
      </c>
      <c r="C259" s="6">
        <v>30734.517612631316</v>
      </c>
      <c r="D259" s="6">
        <v>0.64222052576648081</v>
      </c>
    </row>
    <row r="260" spans="1:4">
      <c r="A260" s="6">
        <v>233</v>
      </c>
      <c r="B260" s="6">
        <v>605432.81452445104</v>
      </c>
      <c r="C260" s="6">
        <v>52639.325475548976</v>
      </c>
      <c r="D260" s="6">
        <v>1.0999377217817894</v>
      </c>
    </row>
    <row r="261" spans="1:4">
      <c r="A261" s="6">
        <v>234</v>
      </c>
      <c r="B261" s="6">
        <v>652253.93195704522</v>
      </c>
      <c r="C261" s="6">
        <v>71051.178042954765</v>
      </c>
      <c r="D261" s="6">
        <v>1.4846670279386767</v>
      </c>
    </row>
    <row r="262" spans="1:4">
      <c r="A262" s="6">
        <v>235</v>
      </c>
      <c r="B262" s="6">
        <v>665525.01914354146</v>
      </c>
      <c r="C262" s="6">
        <v>-24858.489143541432</v>
      </c>
      <c r="D262" s="6">
        <v>-0.51943655562579472</v>
      </c>
    </row>
    <row r="263" spans="1:4">
      <c r="A263" s="6">
        <v>236</v>
      </c>
      <c r="B263" s="6">
        <v>665744.54873103381</v>
      </c>
      <c r="C263" s="6">
        <v>4884.9312689661747</v>
      </c>
      <c r="D263" s="6">
        <v>0.1020742595484644</v>
      </c>
    </row>
    <row r="264" spans="1:4">
      <c r="A264" s="6">
        <v>237</v>
      </c>
      <c r="B264" s="6">
        <v>789418.16609060264</v>
      </c>
      <c r="C264" s="6">
        <v>-68338.816090602661</v>
      </c>
      <c r="D264" s="6">
        <v>-1.4279902145569479</v>
      </c>
    </row>
    <row r="265" spans="1:4">
      <c r="A265" s="6">
        <v>238</v>
      </c>
      <c r="B265" s="6">
        <v>823807.79618193081</v>
      </c>
      <c r="C265" s="6">
        <v>-13452.776181930793</v>
      </c>
      <c r="D265" s="6">
        <v>-0.28110572944303019</v>
      </c>
    </row>
    <row r="266" spans="1:4">
      <c r="A266" s="6">
        <v>239</v>
      </c>
      <c r="B266" s="6">
        <v>789712.12307217333</v>
      </c>
      <c r="C266" s="6">
        <v>-27792.87307217333</v>
      </c>
      <c r="D266" s="6">
        <v>-0.58075268276332259</v>
      </c>
    </row>
    <row r="267" spans="1:4">
      <c r="A267" s="6">
        <v>240</v>
      </c>
      <c r="B267" s="6">
        <v>740691.54283226165</v>
      </c>
      <c r="C267" s="6">
        <v>-3621.3628322615987</v>
      </c>
      <c r="D267" s="6">
        <v>-7.5671060513746641E-2</v>
      </c>
    </row>
    <row r="268" spans="1:4">
      <c r="A268" s="6">
        <v>241</v>
      </c>
      <c r="B268" s="6">
        <v>729240.50084088661</v>
      </c>
      <c r="C268" s="6">
        <v>47752.429159113439</v>
      </c>
      <c r="D268" s="6">
        <v>0.99782240110997067</v>
      </c>
    </row>
    <row r="269" spans="1:4">
      <c r="A269" s="6">
        <v>242</v>
      </c>
      <c r="B269" s="6">
        <v>647499.42178190092</v>
      </c>
      <c r="C269" s="6">
        <v>28837.988218099112</v>
      </c>
      <c r="D269" s="6">
        <v>0.6025911383708743</v>
      </c>
    </row>
    <row r="270" spans="1:4">
      <c r="A270" s="6">
        <v>243</v>
      </c>
      <c r="B270" s="6">
        <v>809522.53965045628</v>
      </c>
      <c r="C270" s="6">
        <v>18697.130349543761</v>
      </c>
      <c r="D270" s="6">
        <v>0.39069039686093809</v>
      </c>
    </row>
    <row r="271" spans="1:4">
      <c r="A271" s="6">
        <v>244</v>
      </c>
      <c r="B271" s="6">
        <v>733810.67378014571</v>
      </c>
      <c r="C271" s="6">
        <v>29349.246219854336</v>
      </c>
      <c r="D271" s="6">
        <v>0.6132742532590878</v>
      </c>
    </row>
    <row r="272" spans="1:4">
      <c r="A272" s="6">
        <v>245</v>
      </c>
      <c r="B272" s="6">
        <v>784201.24449038168</v>
      </c>
      <c r="C272" s="6">
        <v>17800.435509618372</v>
      </c>
      <c r="D272" s="6">
        <v>0.37195329355555551</v>
      </c>
    </row>
    <row r="273" spans="1:4">
      <c r="A273" s="6">
        <v>246</v>
      </c>
      <c r="B273" s="6">
        <v>752039.21015795367</v>
      </c>
      <c r="C273" s="6">
        <v>-1567.870157953701</v>
      </c>
      <c r="D273" s="6">
        <v>-3.2761809046932183E-2</v>
      </c>
    </row>
    <row r="274" spans="1:4">
      <c r="A274" s="6">
        <v>247</v>
      </c>
      <c r="B274" s="6">
        <v>698439.59981694445</v>
      </c>
      <c r="C274" s="6">
        <v>-19208.739816944464</v>
      </c>
      <c r="D274" s="6">
        <v>-0.40138085588431816</v>
      </c>
    </row>
    <row r="275" spans="1:4">
      <c r="A275" s="6">
        <v>248</v>
      </c>
      <c r="B275" s="6">
        <v>681153.61522291065</v>
      </c>
      <c r="C275" s="6">
        <v>-1264.8752229106613</v>
      </c>
      <c r="D275" s="6">
        <v>-2.6430505301076452E-2</v>
      </c>
    </row>
    <row r="276" spans="1:4">
      <c r="A276" s="6">
        <v>249</v>
      </c>
      <c r="B276" s="6">
        <v>567578.37976195395</v>
      </c>
      <c r="C276" s="6">
        <v>39205.290238046087</v>
      </c>
      <c r="D276" s="6">
        <v>0.8192235982632623</v>
      </c>
    </row>
    <row r="277" spans="1:4">
      <c r="A277" s="6">
        <v>250</v>
      </c>
      <c r="B277" s="6">
        <v>678409.66144027503</v>
      </c>
      <c r="C277" s="6">
        <v>-35658.241440274986</v>
      </c>
      <c r="D277" s="6">
        <v>-0.74510538458133646</v>
      </c>
    </row>
    <row r="278" spans="1:4">
      <c r="A278" s="6">
        <v>251</v>
      </c>
      <c r="B278" s="6">
        <v>635904.33263238019</v>
      </c>
      <c r="C278" s="6">
        <v>12049.447367619839</v>
      </c>
      <c r="D278" s="6">
        <v>0.25178213372862612</v>
      </c>
    </row>
    <row r="279" spans="1:4">
      <c r="A279" s="6">
        <v>252</v>
      </c>
      <c r="B279" s="6">
        <v>737015.10350888933</v>
      </c>
      <c r="C279" s="6">
        <v>-7574.6535088893725</v>
      </c>
      <c r="D279" s="6">
        <v>-0.1582779993585646</v>
      </c>
    </row>
    <row r="280" spans="1:4">
      <c r="A280" s="6">
        <v>253</v>
      </c>
      <c r="B280" s="6">
        <v>720508.98809447594</v>
      </c>
      <c r="C280" s="6">
        <v>44440.011905524065</v>
      </c>
      <c r="D280" s="6">
        <v>0.928606987451295</v>
      </c>
    </row>
    <row r="281" spans="1:4">
      <c r="A281" s="6">
        <v>254</v>
      </c>
      <c r="B281" s="6">
        <v>700141.17981703172</v>
      </c>
      <c r="C281" s="6">
        <v>98905.760182968224</v>
      </c>
      <c r="D281" s="6">
        <v>2.0667091674129305</v>
      </c>
    </row>
    <row r="282" spans="1:4">
      <c r="A282" s="6">
        <v>255</v>
      </c>
      <c r="B282" s="6">
        <v>674146.51351943857</v>
      </c>
      <c r="C282" s="6">
        <v>45933.026480561472</v>
      </c>
      <c r="D282" s="6">
        <v>0.95980463361065671</v>
      </c>
    </row>
    <row r="283" spans="1:4">
      <c r="A283" s="6">
        <v>256</v>
      </c>
      <c r="B283" s="6">
        <v>639767.33521367819</v>
      </c>
      <c r="C283" s="6">
        <v>-27377.195213678177</v>
      </c>
      <c r="D283" s="6">
        <v>-0.57206678581198966</v>
      </c>
    </row>
    <row r="284" spans="1:4">
      <c r="A284" s="6">
        <v>257</v>
      </c>
      <c r="B284" s="6">
        <v>748037.41978896922</v>
      </c>
      <c r="C284" s="6">
        <v>92070.70021103078</v>
      </c>
      <c r="D284" s="6">
        <v>1.9238855231915213</v>
      </c>
    </row>
    <row r="285" spans="1:4">
      <c r="A285" s="6">
        <v>258</v>
      </c>
      <c r="B285" s="6">
        <v>680983.84657363081</v>
      </c>
      <c r="C285" s="6">
        <v>16904.243426369154</v>
      </c>
      <c r="D285" s="6">
        <v>0.35322669572356191</v>
      </c>
    </row>
    <row r="286" spans="1:4">
      <c r="A286" s="6">
        <v>259</v>
      </c>
      <c r="B286" s="6">
        <v>731648.10170362098</v>
      </c>
      <c r="C286" s="6">
        <v>14467.488296378986</v>
      </c>
      <c r="D286" s="6">
        <v>0.3023088911733029</v>
      </c>
    </row>
    <row r="287" spans="1:4">
      <c r="A287" s="6">
        <v>260</v>
      </c>
      <c r="B287" s="6">
        <v>710319.38130024227</v>
      </c>
      <c r="C287" s="6">
        <v>65790.93869975768</v>
      </c>
      <c r="D287" s="6">
        <v>1.3747504280029363</v>
      </c>
    </row>
    <row r="288" spans="1:4">
      <c r="A288" s="6">
        <v>261</v>
      </c>
      <c r="B288" s="6">
        <v>521515.30751900194</v>
      </c>
      <c r="C288" s="6">
        <v>7337.3124809980509</v>
      </c>
      <c r="D288" s="6">
        <v>0.15331858266494852</v>
      </c>
    </row>
    <row r="289" spans="1:4">
      <c r="A289" s="6">
        <v>262</v>
      </c>
      <c r="B289" s="6">
        <v>609499.25749626092</v>
      </c>
      <c r="C289" s="6">
        <v>-3747.9274962609634</v>
      </c>
      <c r="D289" s="6">
        <v>-7.8315722977026173E-2</v>
      </c>
    </row>
    <row r="290" spans="1:4">
      <c r="A290" s="6">
        <v>263</v>
      </c>
      <c r="B290" s="6">
        <v>630129.23140346585</v>
      </c>
      <c r="C290" s="6">
        <v>47511.418596534175</v>
      </c>
      <c r="D290" s="6">
        <v>0.99278630676921176</v>
      </c>
    </row>
    <row r="291" spans="1:4">
      <c r="A291" s="6">
        <v>264</v>
      </c>
      <c r="B291" s="6">
        <v>597224.16415453062</v>
      </c>
      <c r="C291" s="6">
        <v>39389.065845469362</v>
      </c>
      <c r="D291" s="6">
        <v>0.82306372579381204</v>
      </c>
    </row>
    <row r="292" spans="1:4">
      <c r="A292" s="6">
        <v>265</v>
      </c>
      <c r="B292" s="6">
        <v>708845.24992508371</v>
      </c>
      <c r="C292" s="6">
        <v>139.94007491623051</v>
      </c>
      <c r="D292" s="6">
        <v>2.9241515881663423E-3</v>
      </c>
    </row>
    <row r="293" spans="1:4">
      <c r="A293" s="6">
        <v>266</v>
      </c>
      <c r="B293" s="6">
        <v>741966.93419628928</v>
      </c>
      <c r="C293" s="6">
        <v>25826.005803710665</v>
      </c>
      <c r="D293" s="6">
        <v>0.53965353335790489</v>
      </c>
    </row>
    <row r="294" spans="1:4">
      <c r="A294" s="6">
        <v>267</v>
      </c>
      <c r="B294" s="6">
        <v>721057.07227916224</v>
      </c>
      <c r="C294" s="6">
        <v>24523.43772083777</v>
      </c>
      <c r="D294" s="6">
        <v>0.51243540781018304</v>
      </c>
    </row>
    <row r="295" spans="1:4">
      <c r="A295" s="6">
        <v>268</v>
      </c>
      <c r="B295" s="6">
        <v>721990.70981133985</v>
      </c>
      <c r="C295" s="6">
        <v>40337.600188660203</v>
      </c>
      <c r="D295" s="6">
        <v>0.84288405394307275</v>
      </c>
    </row>
    <row r="296" spans="1:4">
      <c r="A296" s="6">
        <v>269</v>
      </c>
      <c r="B296" s="6">
        <v>720581.51689546101</v>
      </c>
      <c r="C296" s="6">
        <v>-59947.526895461022</v>
      </c>
      <c r="D296" s="6">
        <v>-1.2526480072483921</v>
      </c>
    </row>
    <row r="297" spans="1:4">
      <c r="A297" s="6">
        <v>270</v>
      </c>
      <c r="B297" s="6">
        <v>688262.93965865113</v>
      </c>
      <c r="C297" s="6">
        <v>51111.620341348927</v>
      </c>
      <c r="D297" s="6">
        <v>1.0680151906762783</v>
      </c>
    </row>
    <row r="298" spans="1:4">
      <c r="A298" s="6">
        <v>271</v>
      </c>
      <c r="B298" s="6">
        <v>799326.72740102338</v>
      </c>
      <c r="C298" s="6">
        <v>429.73259897658136</v>
      </c>
      <c r="D298" s="6">
        <v>8.9795811709864753E-3</v>
      </c>
    </row>
    <row r="299" spans="1:4">
      <c r="A299" s="6">
        <v>272</v>
      </c>
      <c r="B299" s="6">
        <v>677720.52428942418</v>
      </c>
      <c r="C299" s="6">
        <v>-84377.524289424182</v>
      </c>
      <c r="D299" s="6">
        <v>-1.7631309101710886</v>
      </c>
    </row>
    <row r="300" spans="1:4">
      <c r="A300" s="6">
        <v>273</v>
      </c>
      <c r="B300" s="6">
        <v>658511.06718635885</v>
      </c>
      <c r="C300" s="6">
        <v>-13471.097186358878</v>
      </c>
      <c r="D300" s="6">
        <v>-0.28148856040997983</v>
      </c>
    </row>
    <row r="301" spans="1:4">
      <c r="A301" s="6">
        <v>274</v>
      </c>
      <c r="B301" s="6">
        <v>532747.64461966697</v>
      </c>
      <c r="C301" s="6">
        <v>28849.685380332987</v>
      </c>
      <c r="D301" s="6">
        <v>0.6028355592456216</v>
      </c>
    </row>
    <row r="302" spans="1:4">
      <c r="A302" s="6">
        <v>275</v>
      </c>
      <c r="B302" s="6">
        <v>649967.09500705439</v>
      </c>
      <c r="C302" s="6">
        <v>-14129.355007054401</v>
      </c>
      <c r="D302" s="6">
        <v>-0.29524334547038489</v>
      </c>
    </row>
    <row r="303" spans="1:4">
      <c r="A303" s="6">
        <v>276</v>
      </c>
      <c r="B303" s="6">
        <v>634171.28410680173</v>
      </c>
      <c r="C303" s="6">
        <v>52566.585893198266</v>
      </c>
      <c r="D303" s="6">
        <v>1.0984177742944046</v>
      </c>
    </row>
    <row r="304" spans="1:4">
      <c r="A304" s="6">
        <v>277</v>
      </c>
      <c r="B304" s="6">
        <v>750465.11324100103</v>
      </c>
      <c r="C304" s="6">
        <v>-77388.773241001065</v>
      </c>
      <c r="D304" s="6">
        <v>-1.617095776991555</v>
      </c>
    </row>
    <row r="305" spans="1:4">
      <c r="A305" s="6">
        <v>278</v>
      </c>
      <c r="B305" s="6">
        <v>714696.64467765065</v>
      </c>
      <c r="C305" s="6">
        <v>23851.775322349393</v>
      </c>
      <c r="D305" s="6">
        <v>0.49840052416139913</v>
      </c>
    </row>
    <row r="306" spans="1:4">
      <c r="A306" s="6">
        <v>279</v>
      </c>
      <c r="B306" s="6">
        <v>753636.70430260745</v>
      </c>
      <c r="C306" s="6">
        <v>2983.0656973925652</v>
      </c>
      <c r="D306" s="6">
        <v>6.2333368778433491E-2</v>
      </c>
    </row>
    <row r="307" spans="1:4">
      <c r="A307" s="6">
        <v>280</v>
      </c>
      <c r="B307" s="6">
        <v>789585.83970078046</v>
      </c>
      <c r="C307" s="6">
        <v>-28463.419700780418</v>
      </c>
      <c r="D307" s="6">
        <v>-0.5947642515734346</v>
      </c>
    </row>
    <row r="308" spans="1:4">
      <c r="A308" s="6">
        <v>281</v>
      </c>
      <c r="B308" s="6">
        <v>585392.6765876296</v>
      </c>
      <c r="C308" s="6">
        <v>-60493.106587629649</v>
      </c>
      <c r="D308" s="6">
        <v>-1.2640482992968365</v>
      </c>
    </row>
    <row r="309" spans="1:4">
      <c r="A309" s="6">
        <v>282</v>
      </c>
      <c r="B309" s="6">
        <v>585458.1922143054</v>
      </c>
      <c r="C309" s="6">
        <v>-29900.422214305378</v>
      </c>
      <c r="D309" s="6">
        <v>-0.62479148419167074</v>
      </c>
    </row>
    <row r="310" spans="1:4">
      <c r="A310" s="6">
        <v>283</v>
      </c>
      <c r="B310" s="6">
        <v>666073.97084973997</v>
      </c>
      <c r="C310" s="6">
        <v>48009.709150260082</v>
      </c>
      <c r="D310" s="6">
        <v>1.0031984572194534</v>
      </c>
    </row>
    <row r="311" spans="1:4">
      <c r="A311" s="6">
        <v>284</v>
      </c>
      <c r="B311" s="6">
        <v>516199.52052399365</v>
      </c>
      <c r="C311" s="6">
        <v>-18759.700523993641</v>
      </c>
      <c r="D311" s="6">
        <v>-0.39199784703272761</v>
      </c>
    </row>
    <row r="312" spans="1:4">
      <c r="A312" s="6">
        <v>285</v>
      </c>
      <c r="B312" s="6">
        <v>669034.99367261969</v>
      </c>
      <c r="C312" s="6">
        <v>-32259.333672619658</v>
      </c>
      <c r="D312" s="6">
        <v>-0.67408268752497302</v>
      </c>
    </row>
    <row r="313" spans="1:4">
      <c r="A313" s="6">
        <v>286</v>
      </c>
      <c r="B313" s="6">
        <v>637682.42574972776</v>
      </c>
      <c r="C313" s="6">
        <v>-4672.8957497277297</v>
      </c>
      <c r="D313" s="6">
        <v>-9.7643620214449986E-2</v>
      </c>
    </row>
    <row r="314" spans="1:4">
      <c r="A314" s="6">
        <v>287</v>
      </c>
      <c r="B314" s="6">
        <v>601161.78824034473</v>
      </c>
      <c r="C314" s="6">
        <v>8787.2117596552707</v>
      </c>
      <c r="D314" s="6">
        <v>0.1836153027496325</v>
      </c>
    </row>
    <row r="315" spans="1:4">
      <c r="A315" s="6">
        <v>288</v>
      </c>
      <c r="B315" s="6">
        <v>583246.20396702818</v>
      </c>
      <c r="C315" s="6">
        <v>-35142.503967028228</v>
      </c>
      <c r="D315" s="6">
        <v>-0.73432866781614847</v>
      </c>
    </row>
    <row r="316" spans="1:4">
      <c r="A316" s="6">
        <v>289</v>
      </c>
      <c r="B316" s="6">
        <v>744476.02150991966</v>
      </c>
      <c r="C316" s="6">
        <v>-15051.601509919623</v>
      </c>
      <c r="D316" s="6">
        <v>-0.31451436971164326</v>
      </c>
    </row>
    <row r="317" spans="1:4">
      <c r="A317" s="6">
        <v>290</v>
      </c>
      <c r="B317" s="6">
        <v>719087.23545677611</v>
      </c>
      <c r="C317" s="6">
        <v>-22825.745456776116</v>
      </c>
      <c r="D317" s="6">
        <v>-0.47696086963271472</v>
      </c>
    </row>
    <row r="318" spans="1:4">
      <c r="A318" s="6">
        <v>291</v>
      </c>
      <c r="B318" s="6">
        <v>744541.85133001755</v>
      </c>
      <c r="C318" s="6">
        <v>68774.858669982408</v>
      </c>
      <c r="D318" s="6">
        <v>1.4371016474453802</v>
      </c>
    </row>
    <row r="319" spans="1:4">
      <c r="A319" s="6">
        <v>292</v>
      </c>
      <c r="B319" s="6">
        <v>703505.60489899642</v>
      </c>
      <c r="C319" s="6">
        <v>-1436.6848989963764</v>
      </c>
      <c r="D319" s="6">
        <v>-3.0020595827247233E-2</v>
      </c>
    </row>
    <row r="320" spans="1:4">
      <c r="A320" s="6">
        <v>293</v>
      </c>
      <c r="B320" s="6">
        <v>594017.27207521291</v>
      </c>
      <c r="C320" s="6">
        <v>-47793.572075212956</v>
      </c>
      <c r="D320" s="6">
        <v>-0.99868211283676678</v>
      </c>
    </row>
    <row r="321" spans="1:4">
      <c r="A321" s="6">
        <v>294</v>
      </c>
      <c r="B321" s="6">
        <v>528909.13146417751</v>
      </c>
      <c r="C321" s="6">
        <v>4212.1285358224995</v>
      </c>
      <c r="D321" s="6">
        <v>8.8015547761848417E-2</v>
      </c>
    </row>
    <row r="322" spans="1:4">
      <c r="A322" s="6">
        <v>295</v>
      </c>
      <c r="B322" s="6">
        <v>505104.19464019005</v>
      </c>
      <c r="C322" s="6">
        <v>-6133.8746401900426</v>
      </c>
      <c r="D322" s="6">
        <v>-0.12817185699994699</v>
      </c>
    </row>
    <row r="323" spans="1:4">
      <c r="A323" s="6">
        <v>296</v>
      </c>
      <c r="B323" s="6">
        <v>488537.97863514739</v>
      </c>
      <c r="C323" s="6">
        <v>-799.71863514737925</v>
      </c>
      <c r="D323" s="6">
        <v>-1.6710713628331816E-2</v>
      </c>
    </row>
    <row r="324" spans="1:4">
      <c r="A324" s="6">
        <v>297</v>
      </c>
      <c r="B324" s="6">
        <v>672640.45410775626</v>
      </c>
      <c r="C324" s="6">
        <v>-4181.0841077562654</v>
      </c>
      <c r="D324" s="6">
        <v>-8.7366851427450029E-2</v>
      </c>
    </row>
    <row r="325" spans="1:4">
      <c r="A325" s="6">
        <v>298</v>
      </c>
      <c r="B325" s="6">
        <v>666891.68220752</v>
      </c>
      <c r="C325" s="6">
        <v>96270.76779247995</v>
      </c>
      <c r="D325" s="6">
        <v>2.0116490483722278</v>
      </c>
    </row>
    <row r="326" spans="1:4">
      <c r="A326" s="6">
        <v>299</v>
      </c>
      <c r="B326" s="6">
        <v>621513.63382172515</v>
      </c>
      <c r="C326" s="6">
        <v>-22496.303821725189</v>
      </c>
      <c r="D326" s="6">
        <v>-0.47007694248804976</v>
      </c>
    </row>
    <row r="327" spans="1:4">
      <c r="A327" s="6">
        <v>300</v>
      </c>
      <c r="B327" s="6">
        <v>481106.97595513979</v>
      </c>
      <c r="C327" s="6">
        <v>-79524.395955139771</v>
      </c>
      <c r="D327" s="6">
        <v>-1.661721196514955</v>
      </c>
    </row>
    <row r="328" spans="1:4">
      <c r="A328" s="6">
        <v>301</v>
      </c>
      <c r="B328" s="6">
        <v>714974.57708338555</v>
      </c>
      <c r="C328" s="6">
        <v>-11161.587083385559</v>
      </c>
      <c r="D328" s="6">
        <v>-0.23322963501253191</v>
      </c>
    </row>
    <row r="329" spans="1:4">
      <c r="A329" s="6">
        <v>302</v>
      </c>
      <c r="B329" s="6">
        <v>738630.66342417244</v>
      </c>
      <c r="C329" s="6">
        <v>-14283.933424172457</v>
      </c>
      <c r="D329" s="6">
        <v>-0.29847337606871477</v>
      </c>
    </row>
    <row r="330" spans="1:4">
      <c r="A330" s="6">
        <v>303</v>
      </c>
      <c r="B330" s="6">
        <v>729651.17455352668</v>
      </c>
      <c r="C330" s="6">
        <v>1238.8354464733275</v>
      </c>
      <c r="D330" s="6">
        <v>2.5886384871883408E-2</v>
      </c>
    </row>
    <row r="331" spans="1:4">
      <c r="A331" s="6">
        <v>304</v>
      </c>
      <c r="B331" s="6">
        <v>697770.20527669415</v>
      </c>
      <c r="C331" s="6">
        <v>82810.744723305805</v>
      </c>
      <c r="D331" s="6">
        <v>1.7303918898488961</v>
      </c>
    </row>
    <row r="332" spans="1:4">
      <c r="A332" s="6">
        <v>305</v>
      </c>
      <c r="B332" s="6">
        <v>669858.33989245049</v>
      </c>
      <c r="C332" s="6">
        <v>58099.140107549494</v>
      </c>
      <c r="D332" s="6">
        <v>1.2140245953011524</v>
      </c>
    </row>
    <row r="333" spans="1:4">
      <c r="A333" s="6">
        <v>306</v>
      </c>
      <c r="B333" s="6">
        <v>647387.64818553219</v>
      </c>
      <c r="C333" s="6">
        <v>-109011.64818553219</v>
      </c>
      <c r="D333" s="6">
        <v>-2.2778791876535101</v>
      </c>
    </row>
    <row r="334" spans="1:4">
      <c r="A334" s="6">
        <v>307</v>
      </c>
      <c r="B334" s="6">
        <v>628274.38222412451</v>
      </c>
      <c r="C334" s="6">
        <v>37068.107775875484</v>
      </c>
      <c r="D334" s="6">
        <v>0.77456558664865938</v>
      </c>
    </row>
    <row r="335" spans="1:4">
      <c r="A335" s="6">
        <v>308</v>
      </c>
      <c r="B335" s="6">
        <v>681416.76416687807</v>
      </c>
      <c r="C335" s="6">
        <v>-30252.584166878019</v>
      </c>
      <c r="D335" s="6">
        <v>-0.63215016921112266</v>
      </c>
    </row>
    <row r="336" spans="1:4">
      <c r="A336" s="6">
        <v>309</v>
      </c>
      <c r="B336" s="6">
        <v>639039.68042602704</v>
      </c>
      <c r="C336" s="6">
        <v>-10501.380426026997</v>
      </c>
      <c r="D336" s="6">
        <v>-0.21943412756558597</v>
      </c>
    </row>
    <row r="337" spans="1:4">
      <c r="A337" s="6">
        <v>310</v>
      </c>
      <c r="B337" s="6">
        <v>593808.81437924667</v>
      </c>
      <c r="C337" s="6">
        <v>-57283.974379246705</v>
      </c>
      <c r="D337" s="6">
        <v>-1.1969911032120402</v>
      </c>
    </row>
    <row r="338" spans="1:4">
      <c r="A338" s="6">
        <v>311</v>
      </c>
      <c r="B338" s="6">
        <v>630720.46057469351</v>
      </c>
      <c r="C338" s="6">
        <v>-9043.1605746934656</v>
      </c>
      <c r="D338" s="6">
        <v>-0.18896354294766907</v>
      </c>
    </row>
    <row r="339" spans="1:4">
      <c r="A339" s="6">
        <v>312</v>
      </c>
      <c r="B339" s="6">
        <v>740562.05549299705</v>
      </c>
      <c r="C339" s="6">
        <v>30567.014507002896</v>
      </c>
      <c r="D339" s="6">
        <v>0.63872042422202091</v>
      </c>
    </row>
    <row r="340" spans="1:4">
      <c r="A340" s="6">
        <v>313</v>
      </c>
      <c r="B340" s="6">
        <v>699110.01181331405</v>
      </c>
      <c r="C340" s="6">
        <v>2942.4581866859226</v>
      </c>
      <c r="D340" s="6">
        <v>6.1484844744161028E-2</v>
      </c>
    </row>
    <row r="341" spans="1:4">
      <c r="A341" s="6">
        <v>314</v>
      </c>
      <c r="B341" s="6">
        <v>708852.73812193319</v>
      </c>
      <c r="C341" s="6">
        <v>-20484.278121933225</v>
      </c>
      <c r="D341" s="6">
        <v>-0.42803417418883261</v>
      </c>
    </row>
    <row r="342" spans="1:4">
      <c r="A342" s="6">
        <v>315</v>
      </c>
      <c r="B342" s="6">
        <v>668681.35318483552</v>
      </c>
      <c r="C342" s="6">
        <v>43694.416815164499</v>
      </c>
      <c r="D342" s="6">
        <v>0.91302722540736969</v>
      </c>
    </row>
    <row r="343" spans="1:4">
      <c r="A343" s="6">
        <v>316</v>
      </c>
      <c r="B343" s="6">
        <v>804819.77224413783</v>
      </c>
      <c r="C343" s="6">
        <v>39890.897755862214</v>
      </c>
      <c r="D343" s="6">
        <v>0.83354987551644311</v>
      </c>
    </row>
    <row r="344" spans="1:4">
      <c r="A344" s="6">
        <v>317</v>
      </c>
      <c r="B344" s="6">
        <v>665261.79580303817</v>
      </c>
      <c r="C344" s="6">
        <v>-44997.595803038217</v>
      </c>
      <c r="D344" s="6">
        <v>-0.94025811626788314</v>
      </c>
    </row>
    <row r="345" spans="1:4">
      <c r="A345" s="6">
        <v>318</v>
      </c>
      <c r="B345" s="6">
        <v>547982.80290306825</v>
      </c>
      <c r="C345" s="6">
        <v>-11137.38290306821</v>
      </c>
      <c r="D345" s="6">
        <v>-0.23272387072479941</v>
      </c>
    </row>
    <row r="346" spans="1:4">
      <c r="A346" s="6">
        <v>319</v>
      </c>
      <c r="B346" s="6">
        <v>739340.97925306484</v>
      </c>
      <c r="C346" s="6">
        <v>-12564.759253064869</v>
      </c>
      <c r="D346" s="6">
        <v>-0.26254995752125371</v>
      </c>
    </row>
    <row r="347" spans="1:4" ht="14.4" thickBot="1">
      <c r="A347" s="7">
        <v>320</v>
      </c>
      <c r="B347" s="7">
        <v>614228.872199176</v>
      </c>
      <c r="C347" s="7">
        <v>-54568.032199176028</v>
      </c>
      <c r="D347" s="7">
        <v>-1.140239478318487</v>
      </c>
    </row>
  </sheetData>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A096E41-EF62-4A4B-BA5A-88F8BD3C0480}">
  <dimension ref="A1"/>
  <sheetViews>
    <sheetView workbookViewId="0">
      <selection activeCell="T26" sqref="T26"/>
    </sheetView>
  </sheetViews>
  <sheetFormatPr defaultRowHeight="13.8"/>
  <sheetData/>
  <pageMargins left="0.7" right="0.7" top="0.75" bottom="0.75" header="0.3" footer="0.3"/>
  <drawing r:id="rId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1CB3484-F0A0-430D-B7CF-356C2AF1DC5B}">
  <dimension ref="A1:C88"/>
  <sheetViews>
    <sheetView topLeftCell="A4" zoomScale="96" workbookViewId="0">
      <selection activeCell="E15" sqref="E15"/>
    </sheetView>
  </sheetViews>
  <sheetFormatPr defaultRowHeight="13.8"/>
  <cols>
    <col min="1" max="1" width="24.59765625" style="10" bestFit="1" customWidth="1"/>
    <col min="2" max="2" width="13.69921875" style="10" bestFit="1" customWidth="1"/>
    <col min="3" max="3" width="38.09765625" style="10" customWidth="1"/>
    <col min="4" max="16384" width="8.796875" style="10"/>
  </cols>
  <sheetData>
    <row r="1" spans="1:3">
      <c r="A1" s="10" t="s">
        <v>153</v>
      </c>
    </row>
    <row r="3" spans="1:3" ht="22.8">
      <c r="A3" s="21" t="s">
        <v>145</v>
      </c>
    </row>
    <row r="5" spans="1:3">
      <c r="A5" s="10" t="s">
        <v>179</v>
      </c>
      <c r="B5" s="10">
        <f>'Multiple Regression'!B17</f>
        <v>404245.38972201536</v>
      </c>
    </row>
    <row r="7" spans="1:3">
      <c r="A7" s="10" t="s">
        <v>154</v>
      </c>
    </row>
    <row r="8" spans="1:3">
      <c r="A8" s="10" t="s">
        <v>155</v>
      </c>
    </row>
    <row r="12" spans="1:3" ht="22.8">
      <c r="A12" s="21" t="s">
        <v>146</v>
      </c>
    </row>
    <row r="14" spans="1:3">
      <c r="A14" s="27" t="s">
        <v>156</v>
      </c>
      <c r="B14" s="27" t="s">
        <v>129</v>
      </c>
      <c r="C14" s="27" t="s">
        <v>157</v>
      </c>
    </row>
    <row r="15" spans="1:3" ht="147.6" customHeight="1">
      <c r="A15" s="25" t="s">
        <v>104</v>
      </c>
      <c r="B15" s="26">
        <v>10436.879999999999</v>
      </c>
      <c r="C15" s="25" t="s">
        <v>181</v>
      </c>
    </row>
    <row r="16" spans="1:3" ht="117.6" customHeight="1">
      <c r="A16" s="25" t="s">
        <v>158</v>
      </c>
      <c r="B16" s="25">
        <v>1.1375999999999999</v>
      </c>
      <c r="C16" s="25" t="s">
        <v>182</v>
      </c>
    </row>
    <row r="17" spans="1:3" ht="123.6" customHeight="1">
      <c r="A17" s="25" t="s">
        <v>159</v>
      </c>
      <c r="B17" s="25">
        <v>33.564799999999998</v>
      </c>
      <c r="C17" s="25" t="s">
        <v>183</v>
      </c>
    </row>
    <row r="18" spans="1:3" ht="107.4" customHeight="1">
      <c r="A18" s="25" t="s">
        <v>160</v>
      </c>
      <c r="B18" s="25" t="s">
        <v>161</v>
      </c>
      <c r="C18" s="25" t="s">
        <v>184</v>
      </c>
    </row>
    <row r="21" spans="1:3" ht="22.8">
      <c r="A21" s="21" t="s">
        <v>162</v>
      </c>
    </row>
    <row r="23" spans="1:3">
      <c r="A23" s="10" t="s">
        <v>180</v>
      </c>
      <c r="B23" s="10">
        <f>'Multiple Regression'!B5</f>
        <v>0.78731979888935111</v>
      </c>
    </row>
    <row r="25" spans="1:3">
      <c r="A25" s="10" t="s">
        <v>154</v>
      </c>
    </row>
    <row r="26" spans="1:3">
      <c r="A26" s="10" t="s">
        <v>185</v>
      </c>
    </row>
    <row r="30" spans="1:3" ht="22.8">
      <c r="A30" s="21" t="s">
        <v>147</v>
      </c>
    </row>
    <row r="32" spans="1:3">
      <c r="A32" s="22" t="s">
        <v>156</v>
      </c>
      <c r="B32" s="22" t="s">
        <v>124</v>
      </c>
      <c r="C32" s="22" t="s">
        <v>157</v>
      </c>
    </row>
    <row r="33" spans="1:3">
      <c r="A33" s="19" t="s">
        <v>104</v>
      </c>
      <c r="B33" s="19">
        <f>'Multiple Regression'!E18</f>
        <v>8.0810621876145489E-2</v>
      </c>
      <c r="C33" s="19" t="s">
        <v>163</v>
      </c>
    </row>
    <row r="34" spans="1:3">
      <c r="A34" s="19" t="s">
        <v>158</v>
      </c>
      <c r="B34" s="19">
        <f>'Multiple Regression'!E19</f>
        <v>8.3459470522670328E-15</v>
      </c>
      <c r="C34" s="19" t="s">
        <v>164</v>
      </c>
    </row>
    <row r="35" spans="1:3">
      <c r="A35" s="19" t="s">
        <v>159</v>
      </c>
      <c r="B35" s="19">
        <f>'Multiple Regression'!E20</f>
        <v>5.9083408401592042E-95</v>
      </c>
      <c r="C35" s="19" t="s">
        <v>165</v>
      </c>
    </row>
    <row r="36" spans="1:3">
      <c r="A36" s="19" t="s">
        <v>160</v>
      </c>
      <c r="B36" s="19">
        <f>'Multiple Regression'!E21</f>
        <v>2.6231834507168827E-2</v>
      </c>
      <c r="C36" s="19" t="s">
        <v>166</v>
      </c>
    </row>
    <row r="39" spans="1:3" ht="22.8">
      <c r="A39" s="21" t="s">
        <v>167</v>
      </c>
    </row>
    <row r="41" spans="1:3">
      <c r="A41" s="22" t="s">
        <v>156</v>
      </c>
      <c r="B41" s="22" t="s">
        <v>168</v>
      </c>
    </row>
    <row r="42" spans="1:3">
      <c r="A42" s="19" t="s">
        <v>158</v>
      </c>
      <c r="B42" s="19" t="s">
        <v>169</v>
      </c>
    </row>
    <row r="43" spans="1:3">
      <c r="A43" s="19" t="s">
        <v>159</v>
      </c>
      <c r="B43" s="19" t="s">
        <v>169</v>
      </c>
    </row>
    <row r="44" spans="1:3">
      <c r="A44" s="19" t="s">
        <v>160</v>
      </c>
      <c r="B44" s="19" t="s">
        <v>170</v>
      </c>
    </row>
    <row r="45" spans="1:3" ht="41.4">
      <c r="A45" s="19" t="s">
        <v>104</v>
      </c>
      <c r="B45" s="19" t="s">
        <v>186</v>
      </c>
    </row>
    <row r="48" spans="1:3" ht="22.8">
      <c r="A48" s="21" t="s">
        <v>171</v>
      </c>
    </row>
    <row r="50" spans="1:3" ht="18">
      <c r="A50" s="23" t="s">
        <v>158</v>
      </c>
    </row>
    <row r="51" spans="1:3">
      <c r="A51" s="10" t="s">
        <v>172</v>
      </c>
    </row>
    <row r="53" spans="1:3" ht="18">
      <c r="A53" s="23" t="s">
        <v>159</v>
      </c>
    </row>
    <row r="54" spans="1:3">
      <c r="A54" s="10" t="s">
        <v>173</v>
      </c>
    </row>
    <row r="56" spans="1:3" ht="18">
      <c r="A56" s="23" t="s">
        <v>174</v>
      </c>
    </row>
    <row r="57" spans="1:3">
      <c r="A57" s="10" t="s">
        <v>175</v>
      </c>
    </row>
    <row r="59" spans="1:3" ht="22.8">
      <c r="A59" s="21" t="s">
        <v>176</v>
      </c>
    </row>
    <row r="61" spans="1:3" ht="18">
      <c r="A61" s="23" t="s">
        <v>104</v>
      </c>
    </row>
    <row r="62" spans="1:3">
      <c r="A62" s="20" t="s">
        <v>188</v>
      </c>
      <c r="B62" s="24">
        <f>'Multiple Regression'!E18</f>
        <v>8.0810621876145489E-2</v>
      </c>
      <c r="C62" s="10" t="s">
        <v>187</v>
      </c>
    </row>
    <row r="63" spans="1:3">
      <c r="A63" s="20" t="s">
        <v>177</v>
      </c>
    </row>
    <row r="65" spans="1:1">
      <c r="A65" s="10" t="s">
        <v>178</v>
      </c>
    </row>
    <row r="66" spans="1:1" ht="22.8">
      <c r="A66" s="21"/>
    </row>
    <row r="68" spans="1:1" ht="18">
      <c r="A68" s="23"/>
    </row>
    <row r="69" spans="1:1">
      <c r="A69" s="20"/>
    </row>
    <row r="70" spans="1:1">
      <c r="A70" s="20"/>
    </row>
    <row r="71" spans="1:1">
      <c r="A71" s="20"/>
    </row>
    <row r="72" spans="1:1">
      <c r="A72" s="20"/>
    </row>
    <row r="78" spans="1:1" ht="22.8">
      <c r="A78" s="21"/>
    </row>
    <row r="79" spans="1:1">
      <c r="A79" s="20"/>
    </row>
    <row r="80" spans="1:1">
      <c r="A80" s="20"/>
    </row>
    <row r="81" spans="1:1">
      <c r="A81" s="20"/>
    </row>
    <row r="82" spans="1:1">
      <c r="A82" s="20"/>
    </row>
    <row r="83" spans="1:1">
      <c r="A83" s="20"/>
    </row>
    <row r="84" spans="1:1">
      <c r="A84" s="20"/>
    </row>
    <row r="85" spans="1:1">
      <c r="A85" s="20"/>
    </row>
    <row r="86" spans="1:1">
      <c r="A86" s="20"/>
    </row>
    <row r="87" spans="1:1">
      <c r="A87" s="20"/>
    </row>
    <row r="88" spans="1:1">
      <c r="A88" s="20"/>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10</vt:i4>
      </vt:variant>
    </vt:vector>
  </HeadingPairs>
  <TitlesOfParts>
    <vt:vector size="10" baseType="lpstr">
      <vt:lpstr>store_performance</vt:lpstr>
      <vt:lpstr>SRegression1</vt:lpstr>
      <vt:lpstr>SRegression2</vt:lpstr>
      <vt:lpstr>SRegression3</vt:lpstr>
      <vt:lpstr>SRegression4</vt:lpstr>
      <vt:lpstr>SRegression5</vt:lpstr>
      <vt:lpstr>SR Summary</vt:lpstr>
      <vt:lpstr>Multiple Regression</vt:lpstr>
      <vt:lpstr>MR Visuals</vt:lpstr>
      <vt:lpstr>MR Summary</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Hp</dc:creator>
  <cp:lastModifiedBy>Hp</cp:lastModifiedBy>
  <dcterms:created xsi:type="dcterms:W3CDTF">2026-06-28T07:08:23Z</dcterms:created>
  <dcterms:modified xsi:type="dcterms:W3CDTF">2026-06-28T10:10:09Z</dcterms:modified>
</cp:coreProperties>
</file>